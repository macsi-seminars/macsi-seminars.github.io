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516"/>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558" documentId="13_ncr:1_{12BE53B5-C8C7-44FE-8280-19C653D9122E}" xr6:coauthVersionLast="47" xr6:coauthVersionMax="47" xr10:uidLastSave="{93651893-8D79-4E4A-BFD8-57E417923FD0}"/>
  <bookViews>
    <workbookView xWindow="2160" yWindow="2160" windowWidth="21600" windowHeight="11175"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6-2027 Sem 1" sheetId="10" r:id="rId5"/>
    <sheet name="AY2026-2027 Sem 2" sheetId="12" r:id="rId6"/>
    <sheet name="AY2025-2026 Sem 2" sheetId="9" r:id="rId7"/>
    <sheet name="Possbile speaker (reserve list)" sheetId="4" r:id="rId8"/>
    <sheet name="Open dates" sheetId="8" r:id="rId9"/>
    <sheet name="Printed A2002" sheetId="5" state="hidden"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10" l="1"/>
  <c r="C6" i="10"/>
  <c r="D6" i="10"/>
  <c r="A8" i="12"/>
  <c r="A9" i="12"/>
  <c r="E4" i="12"/>
  <c r="E5" i="12" s="1"/>
  <c r="E6" i="12" s="1"/>
  <c r="E7" i="12" s="1"/>
  <c r="A4" i="12"/>
  <c r="D3" i="12"/>
  <c r="C3" i="12"/>
  <c r="C12" i="9"/>
  <c r="D12" i="9"/>
  <c r="A4" i="9"/>
  <c r="A5" i="9"/>
  <c r="D10" i="9"/>
  <c r="C10" i="9"/>
  <c r="E4" i="10"/>
  <c r="E5" i="10" s="1"/>
  <c r="E7" i="10" s="1"/>
  <c r="E9" i="10" s="1"/>
  <c r="A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C12" i="7"/>
  <c r="C4" i="9"/>
  <c r="C5" i="1"/>
  <c r="A6" i="9"/>
  <c r="A7" i="9"/>
  <c r="D5" i="9"/>
  <c r="C5" i="9"/>
  <c r="C6" i="1"/>
  <c r="A8" i="9"/>
  <c r="A9" i="9"/>
  <c r="D6" i="9"/>
  <c r="C6" i="9"/>
  <c r="C7" i="1"/>
  <c r="D8" i="9"/>
  <c r="C8" i="9"/>
  <c r="C8" i="1"/>
  <c r="C9" i="1"/>
  <c r="C10" i="1"/>
  <c r="C11" i="1"/>
  <c r="C12" i="1"/>
  <c r="D4" i="10" l="1"/>
  <c r="C4" i="10"/>
  <c r="A5" i="12"/>
  <c r="D4" i="12"/>
  <c r="C4" i="12"/>
  <c r="D5" i="10" l="1"/>
  <c r="C5" i="10"/>
  <c r="A7" i="10"/>
  <c r="A8" i="10" s="1"/>
  <c r="A6" i="12"/>
  <c r="D5" i="12"/>
  <c r="C5" i="12"/>
  <c r="D8" i="10" l="1"/>
  <c r="C8" i="10"/>
  <c r="D7" i="10"/>
  <c r="C7" i="10"/>
  <c r="A9" i="10"/>
  <c r="A7" i="12"/>
  <c r="D6" i="12"/>
  <c r="C6" i="12"/>
  <c r="C9" i="10" l="1"/>
  <c r="D9" i="10"/>
  <c r="A10" i="10"/>
  <c r="D8" i="12"/>
  <c r="D7" i="12"/>
  <c r="C7" i="12"/>
  <c r="D10" i="10" l="1"/>
  <c r="A11" i="10"/>
  <c r="C11" i="10" s="1"/>
  <c r="C10" i="10"/>
</calcChain>
</file>

<file path=xl/sharedStrings.xml><?xml version="1.0" encoding="utf-8"?>
<sst xmlns="http://schemas.openxmlformats.org/spreadsheetml/2006/main" count="1136" uniqueCount="467">
  <si>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</si>
  <si>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</si>
  <si>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</si>
  <si>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</si>
  <si>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</si>
  <si>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</si>
  <si>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</si>
  <si>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</si>
  <si>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</si>
  <si>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</si>
  <si>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</si>
  <si>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</si>
  <si>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</si>
  <si>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</si>
  <si>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</si>
  <si>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</si>
  <si>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</si>
  <si>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</si>
  <si>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</si>
  <si>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</si>
  <si>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</si>
  <si>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</si>
  <si>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</si>
  <si>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</si>
  <si>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</si>
  <si>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</si>
  <si>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</si>
  <si>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</si>
  <si>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</si>
  <si>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</si>
  <si>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</si>
  <si>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</si>
  <si>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</si>
  <si>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</si>
  <si>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</si>
  <si>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</si>
  <si>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</si>
  <si>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</si>
  <si>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</si>
  <si>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</si>
  <si>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</si>
  <si>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</si>
  <si>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</si>
  <si>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</si>
  <si>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</si>
  <si>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</si>
  <si>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</si>
  <si>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</si>
  <si>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</si>
  <si>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</si>
  <si>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</si>
  <si>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</si>
  <si>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</si>
  <si>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</si>
  <si>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</si>
  <si>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</si>
  <si>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</si>
  <si>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</si>
  <si>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</si>
  <si>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</si>
  <si>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</si>
  <si>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</si>
  <si>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</si>
  <si>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</si>
  <si>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</si>
  <si>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</si>
  <si>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</si>
  <si>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</si>
  <si>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</si>
  <si>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</si>
  <si>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</si>
  <si>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</si>
  <si>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</si>
  <si>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</si>
  <si>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</si>
  <si>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</si>
  <si>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</si>
  <si>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</si>
  <si>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</si>
  <si>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</si>
  <si>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</si>
  <si>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</si>
  <si>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</si>
  <si>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</si>
  <si>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</si>
  <si>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</si>
  <si>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</si>
  <si>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</si>
  <si>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</si>
  <si>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</si>
  <si>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</si>
  <si>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</si>
  <si>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</si>
  <si>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</si>
  <si>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</si>
  <si>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</si>
  <si>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</si>
  <si>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</si>
  <si>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</si>
  <si>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</si>
  <si>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</si>
  <si>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</si>
  <si>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</si>
  <si>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</si>
  <si>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</si>
  <si>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</si>
  <si>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</si>
  <si>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</si>
  <si>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</si>
  <si>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</si>
  <si>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</si>
  <si>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</si>
  <si>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</si>
  <si>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</si>
  <si>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</si>
  <si>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</si>
  <si>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</si>
  <si>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</si>
  <si>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</si>
  <si>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</si>
  <si>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</si>
  <si>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</si>
  <si>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</si>
  <si>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</si>
  <si>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</si>
  <si>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</si>
  <si>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</si>
  <si>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</si>
  <si>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</si>
  <si>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</si>
  <si>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</si>
  <si>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</si>
  <si>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</si>
  <si>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</si>
  <si>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</si>
  <si>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</si>
  <si>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</si>
  <si>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</si>
  <si>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</si>
  <si>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</si>
  <si>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</si>
  <si>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</si>
  <si>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</si>
  <si>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</si>
  <si>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</si>
  <si>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</si>
  <si>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</si>
  <si>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</si>
  <si>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</si>
  <si>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</si>
  <si>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</si>
  <si>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</si>
  <si>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</si>
  <si>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</si>
  <si>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</si>
  <si>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</si>
  <si>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</si>
  <si>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</si>
  <si>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</si>
  <si>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</si>
  <si>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</si>
  <si>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</si>
  <si>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</si>
  <si>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</si>
  <si>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</si>
  <si>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</si>
  <si>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</si>
  <si>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</si>
  <si>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</si>
  <si>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</si>
  <si>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</si>
  <si>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</si>
  <si>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</si>
  <si>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</si>
  <si>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</si>
  <si>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</si>
  <si>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</si>
  <si>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</si>
  <si>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</si>
  <si>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</si>
  <si>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</si>
  <si>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</si>
  <si>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</si>
  <si>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</si>
  <si>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</si>
  <si>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</si>
  <si>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</si>
  <si>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</si>
  <si>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</si>
  <si>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</si>
  <si>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</si>
  <si>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</si>
  <si>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</si>
  <si>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</si>
  <si>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</si>
  <si>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</si>
  <si>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</si>
  <si>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</si>
  <si>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</si>
  <si>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</si>
  <si>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</si>
  <si>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</si>
  <si>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</si>
  <si>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</si>
  <si>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</si>
  <si>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</si>
  <si>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</si>
  <si>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</si>
  <si>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</si>
  <si>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</si>
  <si>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</si>
  <si>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</si>
  <si>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</si>
  <si>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</si>
  <si>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</si>
  <si>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</si>
  <si>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</si>
  <si>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</si>
  <si>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</si>
  <si>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</si>
  <si>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</si>
  <si>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</si>
  <si>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</si>
  <si>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</si>
  <si>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</si>
  <si>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</si>
  <si>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</si>
  <si>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</si>
  <si>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</si>
  <si>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</si>
  <si>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</si>
  <si>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</si>
  <si>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</si>
  <si>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</si>
  <si>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</si>
  <si>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</si>
  <si>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</si>
  <si>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</si>
  <si>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</si>
  <si>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</si>
  <si>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</si>
  <si>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</si>
  <si>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</si>
  <si>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</si>
  <si>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</si>
  <si>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</si>
  <si>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</si>
  <si>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</si>
  <si>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</si>
  <si>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</si>
  <si>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</si>
  <si>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</si>
  <si>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</si>
  <si>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</si>
  <si>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</si>
  <si>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</si>
  <si>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</si>
  <si>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</si>
  <si>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</si>
  <si>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</si>
  <si>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</si>
  <si>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</si>
  <si>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</si>
  <si>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</si>
  <si>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</si>
  <si>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</si>
  <si>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</si>
  <si>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</si>
  <si>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</si>
  <si>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</si>
  <si>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</si>
  <si>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</si>
  <si>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</si>
  <si>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</si>
  <si>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</si>
  <si>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</si>
  <si>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</si>
  <si>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</si>
  <si>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</si>
  <si>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</si>
  <si>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</si>
  <si>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</si>
  <si>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</si>
  <si>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</si>
  <si>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</si>
  <si>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</si>
  <si>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</si>
  <si>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</si>
  <si>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</si>
  <si>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</si>
  <si>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</si>
  <si>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</si>
  <si>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</si>
  <si>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</si>
  <si>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</si>
  <si>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</si>
  <si>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</si>
  <si>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</si>
  <si>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</si>
  <si>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</si>
  <si>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</si>
  <si>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</si>
  <si>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</si>
  <si>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</si>
  <si>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</si>
  <si>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</si>
  <si>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</si>
  <si>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</si>
  <si>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</si>
  <si>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</si>
  <si>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</si>
  <si>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</si>
  <si>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</si>
  <si>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</si>
  <si>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</si>
  <si>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</si>
  <si>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</si>
  <si>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</si>
  <si>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</si>
  <si>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</si>
  <si>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</si>
  <si>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</si>
  <si>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</si>
  <si>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</si>
  <si>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</si>
  <si>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</si>
  <si>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</si>
  <si>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Open</t>
  </si>
  <si>
    <t>TBC</t>
  </si>
  <si>
    <t>Wasgner Barreto de Souza</t>
  </si>
  <si>
    <t>UCD</t>
  </si>
  <si>
    <t>JS</t>
  </si>
  <si>
    <t>Kate Finucane</t>
  </si>
  <si>
    <t>David Osullivan</t>
  </si>
  <si>
    <t xml:space="preserve"> Clustering smart meter electricity data in Ireland and the UK using functional data analysis</t>
  </si>
  <si>
    <t>https://www.linkedin.com/in/kate-finucane-997674151/</t>
  </si>
  <si>
    <t>Marc Calvo Schwarzwalder</t>
  </si>
  <si>
    <t>Universitat Politècnica de Catalunya</t>
  </si>
  <si>
    <t>Kevin Morney</t>
  </si>
  <si>
    <t>https://scholar.google.com/citations?user=DnIzMgMAAAAJ&amp;hl=ca</t>
  </si>
  <si>
    <t>https://sites.google.com/view/marccalvoschwarzwalder/home?authuser=0</t>
  </si>
  <si>
    <t>Santiago Lamata Otín</t>
  </si>
  <si>
    <t>University of Zaragoza</t>
  </si>
  <si>
    <t xml:space="preserve">Viral Evolution and Epidemic Spreading: The Interplay of Timescales
</t>
  </si>
  <si>
    <t>Epidemic outbreaks impose a substantial burden on the health and wealth of societies. Epidemic models have long been used to understand outbreak trajectories and assess the impact of control policies over relatively short timescales. Viral evolution, however, adds another layer of complexity, particularly for rapidly evolving pathogens, whose evolutionary dynamics unfold on timescales comparable to those of epidemic spreading.
In this seminar, we explore how different dimensions of viral evolution reshape epidemic dynamics. Evolution across antigenic space allows viruses to escape population immunity through the interplay between mutation and immunity timescales, thereby determining whether epidemic activity can persist as an endemic state. The structure of the underlying genotype network further shapes this evolutionary exploration and can, by itself, account for seasonal or steady patterns of endemicity. Evolution in infectivity, instead, alters the conditions for epidemic onset through the interplay between evolutionary and epidemic timescales. Importantly, this coupling also challenges conventional expectations about epidemic control. Under certain conditions, interventions can alter evolutionary dynamics in ways that lead to worse epidemic outcomes than taking no action.
References:
[1] Lamata-Otín, Santiago, et al. "Genotype networks drive oscillating endemicity and epidemic trajectories in viral evolution." Communications Physics 8.1: 502 (2025).
[2] Lamata-Otín, Santiago, et al. "Interplay between evolutionary and epidemic time scales challenges the outcome of control policies." Physical Review Letters, In press (arXiv preprint arXiv:2603.18801) (2026).</t>
  </si>
  <si>
    <t>https://scholar.google.com/citations?user=tXGb3D8AAAAJ&amp;hl=es</t>
  </si>
  <si>
    <t>https://www.nature.com/articles/s42005-025-02406-5; https://arxiv.org/abs/2603.18801</t>
  </si>
  <si>
    <t>https://santiagolaot.github.io/ </t>
  </si>
  <si>
    <t>Stephen Jun Villejo</t>
  </si>
  <si>
    <t>Imperial College London</t>
  </si>
  <si>
    <t>May</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</si>
  <si>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</si>
  <si>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</si>
  <si>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</si>
  <si>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</si>
  <si>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</si>
  <si>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</si>
  <si>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</si>
  <si>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</si>
  <si>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</si>
  <si>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</si>
  <si>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</si>
  <si>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</si>
  <si>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</si>
  <si>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</si>
  <si>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</si>
  <si>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</si>
  <si>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</si>
  <si>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</si>
  <si>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</si>
  <si>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</si>
  <si>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</si>
  <si>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</si>
  <si>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</si>
  <si>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</si>
  <si>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</si>
  <si>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</si>
  <si>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</si>
  <si>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</si>
  <si>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Yes already booked</t>
  </si>
  <si>
    <t>Cornelius Fritz</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</si>
  <si>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</si>
  <si>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</si>
  <si>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</si>
  <si>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</si>
  <si>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</si>
  <si>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</si>
  <si>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Convection and phase changes in environmental flows</t>
  </si>
  <si>
    <t>Many processes in the climate system can be related to the coupling of fluid convection and thermodynamic phase changes, from ice-ocean interactions in polar regions to the formation and evolution of clouds in the atmosphere. In this talk, I will discuss some recent work aimed at understanding the fundamental interactions between convection and phase changes in simple systems, with a focus on the effects of turbulence on ice melting. Firstly, motivated by the flows beside marine-terminating glaciers, I will describe work focused on understanding boundary layers in turbulent convection at vertical walls. I focus on the complexities introduced by a high Prandtl number (relevant to seawater) and the effect of an ambient flow, where a transition between buoyancy-driven and shear-driven boundary layers occurs. Secondly, I will outline a newly-developed immersed boundary technique for simulating melting objects in turbulent flows, which reveals the subtle effects that the free motion of melting ice objects can introduce.</t>
  </si>
  <si>
    <t>Michel Destrade</t>
  </si>
  <si>
    <t>An introduction to the European Research Council grants</t>
  </si>
  <si>
    <t>This talk provides an insider’s overview of the European Research Council and its funding schemes, informed by a 12-month secondment at the ERC Executive Agency in Brussels in 2024-25. It explains how ERC proposals are evaluated in practice, with emphasis on what panels look for when assessing excellence, ambition, and feasibility. The presentation covers the different ERC grant types, the structure of proposals, the two-step evaluation process, common misconceptions, and recurring reasons why strong applications might fail. It also discusses how to frame a compelling frontier-research narrative and how to position oneself strategically for the ERC grants.</t>
  </si>
  <si>
    <t>https://scholar.google.com/citations?user=EQAvBLgAAAAJ&amp;hl=en</t>
  </si>
  <si>
    <t>https://maths.universityofgalway.ie/~destrade/</t>
  </si>
  <si>
    <t>Carl Scarrott</t>
  </si>
  <si>
    <t>Bayes-ically Fair:  Bayesian Ranking of Olympic Medal Performances</t>
  </si>
  <si>
    <t>Evaluating a country's sporting success can provide insight into its decision-making and the infrastructure used to develop athletic talent. The Olympic Games serve as a global benchmark, yet conventional medal tables can be overly influenced by population size or highly variable, particularly for smaller nations where outcomes are more affected by stochastic fluctuations.
We propose a Bayesian ranking scheme to rank the performance of National Olympic Committees by inferring an underlying `long-run' medals-to-population rate. The approach applies shrinkage to stabilise estimates for small-population countries while leaving large-population countries comparatively unchanged. The Bayesian framework yields posterior distributions over both the inferred medals-per-capita performance and the induced ranks, providing a principled measure of uncertainty in each country's ranking position.</t>
  </si>
  <si>
    <t>https://scholar.google.com/citations?user=kRgtZZcAAAAJ&amp;hl=en</t>
  </si>
  <si>
    <t xml:space="preserve">https://research.universityofgalway.ie/en/persons/carl-scarrott/ </t>
  </si>
  <si>
    <t>Andrew Keane</t>
  </si>
  <si>
    <t>Fragmented tipping of the Atlantic Meridional Ocean Circulation</t>
  </si>
  <si>
    <t>The tipping of the Atlantic Meridional Overturning Circulation (AMOC) to a ‘shutdown’ state due to changes in the freshwater forcing of the ocean is of particular interest and concern due to its widespread ramifications, including a dramatic climatic shift for much of Europe. A clear understanding of how such a shutdown would unfold requires analyses of models from across the complexity spectrum. For example, detailed simulations of sophisticated Earth System Models have identified scenarios of ‘fragmented’ tipping towards a complete shutdown of AMOC, in which deep-water formation first ceases in the Labrador Sea before ceasing in the Nordic Seas. Here, we study a simple ocean box model with two polar boxes designed to represent deep-water formation at these two distinct sites. A bifurcation analysis reveals how, depending on the differences of freshwater and thermal forcing between the two polar boxes, transitions to ‘partial shutdown’ states are possible. Our results shed light on the nature of the tipping of AMOC and clarify dynamical features observed in more sophisticated models.</t>
  </si>
  <si>
    <t>Florian Faucher</t>
  </si>
  <si>
    <t>University of Pau and Pays de l’Adour</t>
  </si>
  <si>
    <t>Romina Gaburro</t>
  </si>
  <si>
    <t>Quantitative inverse wave problem for passive imaging using cross-correlation data.</t>
  </si>
  <si>
    <t>We investigate the quantitative reconstruction of physical properties in the context of passive imaging, where ambient wavefields are used to probe a medium. These ambient signals correspond to oscillations of the system generated by stochastic events. We discuss in particular  helioseismology, where satellites observe solar oscillations that are driven by turbulent convective motion. Considering the data as a superposition of waves generated by stochastic sources, the expected value of the cross-correlation between signals is related to the deterministic Green's function. The inverse wave problem is then formulated through an iterative minimization procedure, in which the gradient of the misfit functional is computed via the adjoint-state method. We focus on time-harmonic acoustic wave propagation and carry out synthetic experiments, comparing inversions based on cross-correlation data with those using direct wavefield measurements in the configuration of active-source acquisitions.</t>
  </si>
  <si>
    <t>https://scholar.google.com/citations?user=KKQ8FvkAAAAJ&amp;hl=en</t>
  </si>
  <si>
    <t>https://ffaucher.gitlab.io/cv/</t>
  </si>
  <si>
    <t>Wednesday</t>
  </si>
  <si>
    <t>Alan Demlow</t>
  </si>
  <si>
    <t>Texas A&amp;M</t>
  </si>
  <si>
    <t>Finite element methods for the surface Stokes equations</t>
  </si>
  <si>
    <t xml:space="preserve">The surface Navier-Stokes equations are used to describe fluid flows on surfaces.  A paradigm physical example is modeling the deformation of fluidic membranes.  Constructing finite element methods for surface Stokes problems has proved challenging because the canonical finite element methods for Euclidean Stokes problems do not easily translate to the surface context.  In this talk we will first review the basics of finite element methods for scalar elliptic problems posed on Euclidean domains and surfaces.  We will then briefly discuss construction of finite element methods for Euclidean Stokes problems and describe obstacles to the development of surface Stokes FEM.   Finally, we describe a new approach that yields effective translation of Euclidean Stokes elements such as the canonical Taylor-Hood elements to the surface Stokes context.  
</t>
  </si>
  <si>
    <t>https://scholar.google.com/citations?hl=en&amp;user=z9-sxWMAAAAJ&amp;view_op=list_works&amp;sortby=pubdate</t>
  </si>
  <si>
    <t>https://warwick.ac.uk/fac/sci/statistics/staff/academic-research/barons/</t>
  </si>
  <si>
    <t>10am</t>
  </si>
  <si>
    <t>June</t>
  </si>
  <si>
    <t>Martine Barons</t>
  </si>
  <si>
    <t>Warwick University</t>
  </si>
  <si>
    <t xml:space="preserve">Introduction to integrating decision support systems with applications in food security, archives and pollination eco-services.
</t>
  </si>
  <si>
    <t>In today's complex, increasingly interconnected world, old paradigms for supporting decision making under uncertainty are falling short of the needs of decision-makers.  Typically, a wide range of factors are at play, each overseen by specialists who rely on large, complex models to oversee and make forecasts for their particular part of the system.  A single overarching model for the whole system is infeasible and rapidly becomes outdated as matters evolve.  The Integrating Decision Support System was developed to provide a robust statistical underpinning for decision support systems in such circumstances. The IDSS is a transparent and principled method for drawing together evidence from multiple expert domains, including the relevant uncertainties, and turning these into usable insights that can support decision centres in evaluating and comparing the range of policy options at their disposal.</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</si>
  <si>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</si>
  <si>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</si>
  <si>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</si>
  <si>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</si>
  <si>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</si>
  <si>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</si>
  <si>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</si>
  <si>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</si>
  <si>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</si>
  <si>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</si>
  <si>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</si>
  <si>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</si>
  <si>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</si>
  <si>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</si>
  <si>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</si>
  <si>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</si>
  <si>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</si>
  <si>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</si>
  <si>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</si>
  <si>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</si>
  <si>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Andrew Finlay</t>
  </si>
  <si>
    <t>Uni Michigan</t>
  </si>
  <si>
    <t>Denis Allard</t>
  </si>
  <si>
    <t>INRAE</t>
  </si>
  <si>
    <t>Nicholas J Clark</t>
  </si>
  <si>
    <t>University of Queensland</t>
  </si>
  <si>
    <t>Andrew Zammit Mangion</t>
  </si>
  <si>
    <t>University of Wollongong</t>
  </si>
  <si>
    <t>Trinity</t>
  </si>
  <si>
    <t>DOS</t>
  </si>
  <si>
    <t xml:space="preserve">Paul Weaver </t>
  </si>
  <si>
    <t xml:space="preserve">Suzanne Fielding </t>
  </si>
  <si>
    <t xml:space="preserve">Doireann O'Kiely and Anthony </t>
  </si>
  <si>
    <t>Hassan Alkhayuon</t>
  </si>
  <si>
    <t>UCC</t>
  </si>
  <si>
    <t>Week</t>
  </si>
  <si>
    <t>Speaker</t>
  </si>
  <si>
    <t>Taken</t>
  </si>
  <si>
    <t xml:space="preserve">Taken </t>
  </si>
  <si>
    <t>Seminar Series AY2024-25 Sem 2</t>
  </si>
  <si>
    <t xml:space="preserve">Contact david.osullivan@ul.ie &amp; mehakpreet.singh@ul.ie to book a speaker in. </t>
  </si>
  <si>
    <t>Deptartmental contact</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</si>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</sst>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3">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xf numFmtId="0" fontId="1" fillId="0" borderId="0" xfId="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13" Type="http://schemas.openxmlformats.org/officeDocument/2006/relationships/printerSettings" Target="../printerSettings/printerSettings1.bin"/><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4.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https://scholar.google.com/citations?user=tXGb3D8AAAAJ&amp;hl=es" TargetMode="External"/><Relationship Id="rId1" Type="http://schemas.openxmlformats.org/officeDocument/2006/relationships/hyperlink" Target="https://www.linkedin.com/in/kate-finucane-997674151/"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13" Type="http://schemas.openxmlformats.org/officeDocument/2006/relationships/hyperlink" Target="https://ffaucher.gitlab.io/cv/"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12" Type="http://schemas.openxmlformats.org/officeDocument/2006/relationships/hyperlink" Target="https://scholar.google.com/citations?user=EQAvBLgAAAAJ&amp;hl=en" TargetMode="External"/><Relationship Id="rId2" Type="http://schemas.openxmlformats.org/officeDocument/2006/relationships/hyperlink" Target="https://www.tcd.ie/scss/people/academic-staff/fritzc/%20;%20https:/www.corneliusfritz.com/about/" TargetMode="External"/><Relationship Id="rId16" Type="http://schemas.openxmlformats.org/officeDocument/2006/relationships/printerSettings" Target="../printerSettings/printerSettings6.bin"/><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11" Type="http://schemas.openxmlformats.org/officeDocument/2006/relationships/hyperlink" Target="https://maths.universityofgalway.ie/~destrade/" TargetMode="External"/><Relationship Id="rId5" Type="http://schemas.openxmlformats.org/officeDocument/2006/relationships/hyperlink" Target="https://scholar.google.com/citations?user=kRgtZZcAAAAJ&amp;hl=en" TargetMode="External"/><Relationship Id="rId15" Type="http://schemas.openxmlformats.org/officeDocument/2006/relationships/hyperlink" Target="https://scholar.google.com/citations?hl=en&amp;user=z9-sxWMAAAAJ&amp;view_op=list_works&amp;sortby=pubdate" TargetMode="External"/><Relationship Id="rId10" Type="http://schemas.openxmlformats.org/officeDocument/2006/relationships/hyperlink" Target="https://www.leahkeating.ie/" TargetMode="External"/><Relationship Id="rId4" Type="http://schemas.openxmlformats.org/officeDocument/2006/relationships/hyperlink" Target="https://research.universityofgalway.ie/en/persons/carl-scarrott/" TargetMode="External"/><Relationship Id="rId9" Type="http://schemas.openxmlformats.org/officeDocument/2006/relationships/hyperlink" Target="https://arxiv.org/abs/2511.15688" TargetMode="External"/><Relationship Id="rId14" Type="http://schemas.openxmlformats.org/officeDocument/2006/relationships/hyperlink" Target="https://scholar.google.com/citations?user=KKQ8FvkAAAAJ&amp;hl=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bottomRight" activeCell="H1" sqref="H1"/>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sheetPr>
    <tabColor rgb="FF00B050"/>
  </sheetPr>
  <dimension ref="A1:Y15"/>
  <sheetViews>
    <sheetView tabSelected="1" workbookViewId="0">
      <selection activeCell="I22" sqref="I22"/>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c r="A1" t="s">
        <v>0</v>
      </c>
      <c r="P1" t="s">
        <v>1</v>
      </c>
      <c r="U1" t="s">
        <v>2</v>
      </c>
    </row>
    <row r="2" spans="1:25" ht="30.75" thickBot="1">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46275</v>
      </c>
      <c r="B3" s="77" t="s">
        <v>190</v>
      </c>
      <c r="C3" s="29" t="str">
        <f>TEXT(A3, "mmm")</f>
        <v>Sept</v>
      </c>
      <c r="D3" s="55" t="str">
        <f>TEXT(A3, "dddd")</f>
        <v>Thursday</v>
      </c>
      <c r="E3">
        <v>1</v>
      </c>
      <c r="F3" s="16" t="s">
        <v>327</v>
      </c>
      <c r="G3" s="14" t="s">
        <v>328</v>
      </c>
      <c r="H3" s="14" t="s">
        <v>328</v>
      </c>
      <c r="I3" s="98" t="s">
        <v>328</v>
      </c>
      <c r="J3" s="98" t="s">
        <v>328</v>
      </c>
      <c r="K3" s="73"/>
      <c r="L3" s="40"/>
      <c r="M3" s="40"/>
      <c r="N3" s="38"/>
      <c r="O3" s="35"/>
      <c r="P3" s="40"/>
      <c r="Q3" s="40"/>
      <c r="R3" s="40"/>
      <c r="S3" s="38"/>
      <c r="T3" s="35"/>
      <c r="U3" s="40"/>
      <c r="V3" s="40"/>
      <c r="W3" s="40"/>
      <c r="X3" s="46"/>
      <c r="Y3" s="44"/>
    </row>
    <row r="4" spans="1:25" ht="15.75" customHeight="1">
      <c r="A4" s="75">
        <f>A3+14</f>
        <v>46289</v>
      </c>
      <c r="B4" s="2" t="s">
        <v>190</v>
      </c>
      <c r="C4" s="26" t="str">
        <f t="shared" ref="C4:C11" si="0">TEXT(A4, "mmm")</f>
        <v>Sept</v>
      </c>
      <c r="D4" s="27" t="str">
        <f t="shared" ref="D4:D10" si="1">TEXT(A4, "dddd")</f>
        <v>Thursday</v>
      </c>
      <c r="E4">
        <f>E3+2</f>
        <v>3</v>
      </c>
      <c r="F4" s="16" t="s">
        <v>327</v>
      </c>
      <c r="G4" s="14" t="s">
        <v>328</v>
      </c>
      <c r="H4" s="5" t="s">
        <v>328</v>
      </c>
      <c r="I4" s="98" t="s">
        <v>328</v>
      </c>
      <c r="J4" s="98" t="s">
        <v>328</v>
      </c>
      <c r="K4" s="102"/>
      <c r="L4" s="5"/>
      <c r="M4" s="5"/>
      <c r="N4" s="16"/>
      <c r="O4" s="35"/>
      <c r="P4" s="5"/>
      <c r="Q4" s="5"/>
      <c r="R4" s="5"/>
      <c r="S4" s="16"/>
      <c r="T4" s="35"/>
      <c r="U4" s="5"/>
      <c r="V4" s="5"/>
      <c r="W4" s="5"/>
      <c r="X4" s="15"/>
      <c r="Y4" s="13"/>
    </row>
    <row r="5" spans="1:25">
      <c r="A5" s="75">
        <f>A4+14</f>
        <v>46303</v>
      </c>
      <c r="B5" s="2" t="s">
        <v>190</v>
      </c>
      <c r="C5" s="26" t="str">
        <f t="shared" si="0"/>
        <v>Oct</v>
      </c>
      <c r="D5" s="27" t="str">
        <f t="shared" si="1"/>
        <v>Thursday</v>
      </c>
      <c r="E5">
        <f>E4+2</f>
        <v>5</v>
      </c>
      <c r="F5" s="16" t="s">
        <v>329</v>
      </c>
      <c r="G5" s="14" t="s">
        <v>330</v>
      </c>
      <c r="H5" s="14" t="s">
        <v>331</v>
      </c>
      <c r="I5" s="98" t="s">
        <v>328</v>
      </c>
      <c r="J5" s="98" t="s">
        <v>328</v>
      </c>
      <c r="K5" s="102"/>
      <c r="L5" s="5"/>
      <c r="M5" s="5"/>
      <c r="N5" s="16"/>
      <c r="O5" s="35"/>
      <c r="P5" s="5"/>
      <c r="Q5" s="5"/>
      <c r="R5" s="5"/>
      <c r="S5" s="16"/>
      <c r="T5" s="35"/>
      <c r="U5" s="5"/>
      <c r="V5" s="5"/>
      <c r="W5" s="5"/>
      <c r="X5" s="15"/>
      <c r="Y5" s="13"/>
    </row>
    <row r="6" spans="1:25" ht="16.5" customHeight="1">
      <c r="A6" s="75">
        <v>46310</v>
      </c>
      <c r="B6" s="2" t="s">
        <v>190</v>
      </c>
      <c r="C6" s="26" t="str">
        <f t="shared" ref="C6" si="2">TEXT(A6, "mmm")</f>
        <v>Oct</v>
      </c>
      <c r="D6" s="27" t="str">
        <f t="shared" ref="D6" si="3">TEXT(A6, "dddd")</f>
        <v>Thursday</v>
      </c>
      <c r="E6">
        <v>6</v>
      </c>
      <c r="F6" s="16" t="s">
        <v>332</v>
      </c>
      <c r="G6" s="14" t="s">
        <v>68</v>
      </c>
      <c r="H6" s="14" t="s">
        <v>333</v>
      </c>
      <c r="I6" s="98" t="s">
        <v>334</v>
      </c>
      <c r="J6" s="98" t="s">
        <v>328</v>
      </c>
      <c r="K6" s="102"/>
      <c r="L6" s="5"/>
      <c r="M6" s="24" t="s">
        <v>335</v>
      </c>
      <c r="N6" s="16"/>
      <c r="O6" s="35"/>
      <c r="P6" s="5"/>
      <c r="Q6" s="5"/>
      <c r="R6" s="5"/>
      <c r="S6" s="16"/>
      <c r="T6" s="35"/>
      <c r="U6" s="5"/>
      <c r="V6" s="5"/>
      <c r="W6" s="5"/>
      <c r="X6" s="15"/>
      <c r="Y6" s="13"/>
    </row>
    <row r="7" spans="1:25" ht="15.75" customHeight="1">
      <c r="A7" s="75">
        <f>A5+14</f>
        <v>46317</v>
      </c>
      <c r="B7" s="2" t="s">
        <v>190</v>
      </c>
      <c r="C7" s="26" t="str">
        <f t="shared" si="0"/>
        <v>Oct</v>
      </c>
      <c r="D7" s="27" t="str">
        <f t="shared" si="1"/>
        <v>Thursday</v>
      </c>
      <c r="E7">
        <f t="shared" ref="E7" si="4">E5+2</f>
        <v>7</v>
      </c>
      <c r="F7" s="16" t="s">
        <v>327</v>
      </c>
      <c r="G7" s="14" t="s">
        <v>328</v>
      </c>
      <c r="H7" s="14" t="s">
        <v>328</v>
      </c>
      <c r="I7" s="98" t="s">
        <v>328</v>
      </c>
      <c r="J7" s="98" t="s">
        <v>328</v>
      </c>
      <c r="K7" s="102"/>
      <c r="L7" s="5"/>
      <c r="M7" s="5"/>
      <c r="N7" s="16"/>
      <c r="O7" s="35"/>
      <c r="P7" s="5"/>
      <c r="Q7" s="5"/>
      <c r="R7" s="5"/>
      <c r="S7" s="16"/>
      <c r="T7" s="35"/>
      <c r="U7" s="5"/>
      <c r="V7" s="5"/>
      <c r="W7" s="5"/>
      <c r="X7" s="15"/>
      <c r="Y7" s="13"/>
    </row>
    <row r="8" spans="1:25" ht="15.75" customHeight="1">
      <c r="A8" s="75">
        <f>A7+7</f>
        <v>46324</v>
      </c>
      <c r="B8" s="2" t="s">
        <v>190</v>
      </c>
      <c r="C8" s="26" t="str">
        <f t="shared" ref="C8" si="5">TEXT(A8, "mmm")</f>
        <v>Oct</v>
      </c>
      <c r="D8" s="27" t="str">
        <f t="shared" si="1"/>
        <v>Thursday</v>
      </c>
      <c r="E8">
        <v>8</v>
      </c>
      <c r="F8" s="16" t="s">
        <v>336</v>
      </c>
      <c r="G8" s="14" t="s">
        <v>337</v>
      </c>
      <c r="H8" s="14" t="s">
        <v>338</v>
      </c>
      <c r="I8" s="98" t="s">
        <v>328</v>
      </c>
      <c r="J8" s="98" t="s">
        <v>328</v>
      </c>
      <c r="K8" s="102" t="s">
        <v>339</v>
      </c>
      <c r="L8" s="5"/>
      <c r="M8" s="5" t="s">
        <v>340</v>
      </c>
      <c r="N8" s="16"/>
      <c r="O8" s="35"/>
      <c r="P8" s="5"/>
      <c r="Q8" s="5"/>
      <c r="R8" s="5"/>
      <c r="S8" s="16"/>
      <c r="T8" s="35"/>
      <c r="U8" s="5"/>
      <c r="V8" s="5"/>
      <c r="W8" s="5"/>
      <c r="X8" s="15"/>
      <c r="Y8" s="13"/>
    </row>
    <row r="9" spans="1:25">
      <c r="A9" s="75">
        <f>A7+14</f>
        <v>46331</v>
      </c>
      <c r="B9" s="2" t="s">
        <v>190</v>
      </c>
      <c r="C9" s="26" t="str">
        <f t="shared" si="0"/>
        <v>Nov</v>
      </c>
      <c r="D9" s="27" t="str">
        <f t="shared" si="1"/>
        <v>Thursday</v>
      </c>
      <c r="E9">
        <f>E7+2</f>
        <v>9</v>
      </c>
      <c r="F9" s="16" t="s">
        <v>327</v>
      </c>
      <c r="G9" s="14" t="s">
        <v>328</v>
      </c>
      <c r="H9" s="5" t="s">
        <v>328</v>
      </c>
      <c r="I9" s="98" t="s">
        <v>328</v>
      </c>
      <c r="J9" s="98" t="s">
        <v>328</v>
      </c>
      <c r="K9" s="102"/>
      <c r="L9" s="5"/>
      <c r="M9" s="5"/>
      <c r="N9" s="16"/>
      <c r="O9" s="35"/>
      <c r="P9" s="5"/>
      <c r="Q9" s="5"/>
      <c r="R9" s="5"/>
      <c r="S9" s="16"/>
      <c r="T9" s="35"/>
      <c r="U9" s="5"/>
      <c r="V9" s="5"/>
      <c r="W9" s="5"/>
      <c r="X9" s="15"/>
      <c r="Y9" s="13"/>
    </row>
    <row r="10" spans="1:25" ht="18.75" customHeight="1">
      <c r="A10" s="75">
        <f>A9+14</f>
        <v>46345</v>
      </c>
      <c r="B10" s="2" t="s">
        <v>190</v>
      </c>
      <c r="C10" s="26" t="str">
        <f t="shared" si="0"/>
        <v>Nov</v>
      </c>
      <c r="D10" s="27" t="str">
        <f t="shared" si="1"/>
        <v>Thursday</v>
      </c>
      <c r="E10">
        <v>11</v>
      </c>
      <c r="F10" s="16" t="s">
        <v>341</v>
      </c>
      <c r="G10" s="14" t="s">
        <v>342</v>
      </c>
      <c r="H10" s="14" t="s">
        <v>333</v>
      </c>
      <c r="I10" s="98" t="s">
        <v>343</v>
      </c>
      <c r="J10" s="98" t="s">
        <v>344</v>
      </c>
      <c r="K10" s="102" t="s">
        <v>345</v>
      </c>
      <c r="L10" s="5" t="s">
        <v>346</v>
      </c>
      <c r="M10" s="5" t="s">
        <v>347</v>
      </c>
      <c r="N10" s="16"/>
      <c r="O10" s="35"/>
      <c r="P10" s="5"/>
      <c r="Q10" s="5"/>
      <c r="R10" s="5"/>
      <c r="S10" s="16"/>
      <c r="T10" s="35"/>
      <c r="U10" s="5"/>
      <c r="V10" s="5"/>
      <c r="W10" s="5"/>
      <c r="X10" s="15"/>
      <c r="Y10" s="13"/>
    </row>
    <row r="11" spans="1:25" ht="18.75" customHeight="1">
      <c r="A11" s="75">
        <f>A10+14</f>
        <v>46359</v>
      </c>
      <c r="B11" s="2" t="s">
        <v>190</v>
      </c>
      <c r="C11" s="26" t="str">
        <f t="shared" si="0"/>
        <v>Dec</v>
      </c>
      <c r="D11" s="27" t="s">
        <v>278</v>
      </c>
      <c r="E11">
        <v>13</v>
      </c>
      <c r="F11" s="16" t="s">
        <v>348</v>
      </c>
      <c r="G11" s="14" t="s">
        <v>349</v>
      </c>
      <c r="H11" s="14" t="s">
        <v>331</v>
      </c>
      <c r="I11" s="98" t="s">
        <v>328</v>
      </c>
      <c r="J11" s="98" t="s">
        <v>328</v>
      </c>
      <c r="K11" s="102"/>
      <c r="L11" s="5"/>
      <c r="M11" s="5"/>
      <c r="N11" s="16"/>
      <c r="O11" s="35"/>
      <c r="P11" s="5"/>
      <c r="Q11" s="5"/>
      <c r="R11" s="5"/>
      <c r="S11" s="16"/>
      <c r="T11" s="35"/>
      <c r="U11" s="5"/>
      <c r="V11" s="5"/>
      <c r="W11" s="5"/>
      <c r="X11" s="15"/>
      <c r="Y11" s="13"/>
    </row>
    <row r="12" spans="1:25" ht="15.75" thickBot="1">
      <c r="A12" s="26"/>
      <c r="B12" s="26"/>
      <c r="C12" s="26"/>
      <c r="X12" s="20"/>
      <c r="Y12" s="18"/>
    </row>
    <row r="13" spans="1:25" ht="12.75" customHeight="1">
      <c r="A13" s="26"/>
      <c r="B13" s="26"/>
      <c r="C13" s="26"/>
    </row>
    <row r="14" spans="1:25">
      <c r="A14" s="26"/>
      <c r="B14" s="26"/>
      <c r="C14" s="26"/>
    </row>
    <row r="15" spans="1:25">
      <c r="A15" s="26"/>
      <c r="B15" s="26"/>
      <c r="C15" s="26"/>
    </row>
  </sheetData>
  <protectedRanges>
    <protectedRange algorithmName="SHA-512" hashValue="pQyTzP/d7t5ThMimBt5mu8gGozgAm1OwF6BMILsn5/kmtZ5mZf81NMi09wwU8mvtItxf0EVNWa6V4MCa0DKeSQ==" saltValue="NzZBiAQ1yFjat+SeIqh2Uw==" spinCount="100000" sqref="A3:E15"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1" name="Range6_1"/>
    <protectedRange algorithmName="SHA-512" hashValue="BKDH3ki5lE3XQdc5qZnIH6o8wW8E0PkHgMZFCkv/XYDEa+b/qenui0oReDIqPDXHceUVJ+rEgU3I9CDBHraDYg==" saltValue="ruXqG4NOhhm7cSLor8wHfw==" spinCount="100000" sqref="O2:O11" name="Range7_1"/>
    <protectedRange sqref="X12:Y12 F3:Y11" name="Range8_1"/>
    <protectedRange algorithmName="SHA-512" hashValue="JNB4nrqrfZD45ijUCOmyuk44ibTGOz2xPKKqUb8Fu6IzynfOW0Plt2J4MjvTXFpCm0cEkYqWWfoKwgUFnGztPw==" saltValue="gktf/myRKhBCN9s2pCislA==" spinCount="100000" sqref="M2" name="Range4_1_1"/>
  </protectedRanges>
  <phoneticPr fontId="10" type="noConversion"/>
  <hyperlinks>
    <hyperlink ref="M6" r:id="rId1" xr:uid="{79B86DBF-8640-40A3-AFB4-06524F0D8151}"/>
    <hyperlink ref="K10" r:id="rId2" xr:uid="{6F95A97D-397F-4C8F-B76E-531A4940E1B6}"/>
  </hyperlinks>
  <pageMargins left="0.7" right="0.7" top="0.75" bottom="0.75" header="0.3" footer="0.3"/>
  <pageSetup paperSize="0" orientation="portrait"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F1960-42A2-4A6F-A85A-E44221287C02}">
  <sheetPr>
    <tabColor theme="0"/>
  </sheetPr>
  <dimension ref="A1:Y18"/>
  <sheetViews>
    <sheetView workbookViewId="0">
      <selection activeCell="A6" sqref="A6"/>
    </sheetView>
  </sheetViews>
  <sheetFormatPr defaultRowHeight="1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46415</v>
      </c>
      <c r="B3" s="77" t="s">
        <v>190</v>
      </c>
      <c r="C3" s="29" t="str">
        <f>TEXT(A3, "mmm")</f>
        <v>Jan</v>
      </c>
      <c r="D3" s="55" t="str">
        <f>TEXT(A3, "dddd")</f>
        <v>Thursday</v>
      </c>
      <c r="E3">
        <v>1</v>
      </c>
      <c r="F3" s="16" t="s">
        <v>327</v>
      </c>
      <c r="G3" s="14" t="s">
        <v>328</v>
      </c>
      <c r="H3" s="14" t="s">
        <v>328</v>
      </c>
      <c r="I3" s="98" t="s">
        <v>328</v>
      </c>
      <c r="J3" s="98" t="s">
        <v>328</v>
      </c>
      <c r="K3" s="73"/>
      <c r="L3" s="40"/>
      <c r="M3" s="40"/>
      <c r="N3" s="38"/>
      <c r="O3" s="35"/>
      <c r="P3" s="40"/>
      <c r="Q3" s="40"/>
      <c r="R3" s="40"/>
      <c r="S3" s="38"/>
      <c r="T3" s="35"/>
      <c r="U3" s="40"/>
      <c r="V3" s="40"/>
      <c r="W3" s="40"/>
      <c r="X3" s="46"/>
      <c r="Y3" s="44"/>
    </row>
    <row r="4" spans="1:25" ht="15.75" customHeight="1">
      <c r="A4" s="75">
        <f>A3+14</f>
        <v>46429</v>
      </c>
      <c r="B4" s="2" t="s">
        <v>190</v>
      </c>
      <c r="C4" s="26" t="str">
        <f t="shared" ref="C4:C7" si="0">TEXT(A4, "mmm")</f>
        <v>Feb</v>
      </c>
      <c r="D4" s="27" t="str">
        <f t="shared" ref="D4:D8" si="1">TEXT(A4, "dddd")</f>
        <v>Thursday</v>
      </c>
      <c r="E4">
        <f>E3+2</f>
        <v>3</v>
      </c>
      <c r="F4" s="16" t="s">
        <v>327</v>
      </c>
      <c r="G4" s="14" t="s">
        <v>328</v>
      </c>
      <c r="H4" s="5" t="s">
        <v>328</v>
      </c>
      <c r="I4" s="98" t="s">
        <v>328</v>
      </c>
      <c r="J4" s="98" t="s">
        <v>328</v>
      </c>
      <c r="K4" s="102"/>
      <c r="L4" s="5"/>
      <c r="M4" s="5"/>
      <c r="N4" s="16"/>
      <c r="O4" s="35"/>
      <c r="P4" s="5"/>
      <c r="Q4" s="5"/>
      <c r="R4" s="5"/>
      <c r="S4" s="16"/>
      <c r="T4" s="35"/>
      <c r="U4" s="5"/>
      <c r="V4" s="5"/>
      <c r="W4" s="5"/>
      <c r="X4" s="15"/>
      <c r="Y4" s="13"/>
    </row>
    <row r="5" spans="1:25" ht="18.75" customHeight="1">
      <c r="A5" s="75">
        <f t="shared" ref="A5" si="2">A4+14</f>
        <v>46443</v>
      </c>
      <c r="B5" s="2" t="s">
        <v>190</v>
      </c>
      <c r="C5" s="26" t="str">
        <f t="shared" si="0"/>
        <v>Feb</v>
      </c>
      <c r="D5" s="27" t="str">
        <f t="shared" si="1"/>
        <v>Thursday</v>
      </c>
      <c r="E5">
        <f t="shared" ref="E5:E6" si="3">E4+2</f>
        <v>5</v>
      </c>
      <c r="F5" s="16" t="s">
        <v>327</v>
      </c>
      <c r="G5" s="14" t="s">
        <v>328</v>
      </c>
      <c r="H5" s="14" t="s">
        <v>328</v>
      </c>
      <c r="I5" s="98" t="s">
        <v>328</v>
      </c>
      <c r="J5" s="98" t="s">
        <v>328</v>
      </c>
      <c r="K5" s="102"/>
      <c r="L5" s="5"/>
      <c r="M5" s="5"/>
      <c r="N5" s="16"/>
      <c r="O5" s="35"/>
      <c r="P5" s="5"/>
      <c r="Q5" s="5"/>
      <c r="R5" s="5"/>
      <c r="S5" s="16"/>
      <c r="T5" s="35"/>
      <c r="U5" s="5"/>
      <c r="V5" s="5"/>
      <c r="W5" s="5"/>
      <c r="X5" s="15"/>
      <c r="Y5" s="13"/>
    </row>
    <row r="6" spans="1:25" ht="15.75" customHeight="1">
      <c r="A6" s="75">
        <f>A5+14</f>
        <v>46457</v>
      </c>
      <c r="B6" s="2" t="s">
        <v>190</v>
      </c>
      <c r="C6" s="26" t="str">
        <f t="shared" si="0"/>
        <v>Mar</v>
      </c>
      <c r="D6" s="27" t="str">
        <f t="shared" si="1"/>
        <v>Thursday</v>
      </c>
      <c r="E6">
        <f t="shared" si="3"/>
        <v>7</v>
      </c>
      <c r="F6" s="16" t="s">
        <v>327</v>
      </c>
      <c r="G6" s="14" t="s">
        <v>328</v>
      </c>
      <c r="H6" s="14" t="s">
        <v>328</v>
      </c>
      <c r="I6" s="98" t="s">
        <v>328</v>
      </c>
      <c r="J6" s="98" t="s">
        <v>328</v>
      </c>
      <c r="K6" s="102"/>
      <c r="L6" s="5"/>
      <c r="M6" s="5"/>
      <c r="N6" s="16"/>
      <c r="O6" s="35"/>
      <c r="P6" s="5"/>
      <c r="Q6" s="5"/>
      <c r="R6" s="5"/>
      <c r="S6" s="16"/>
      <c r="T6" s="35"/>
      <c r="U6" s="5"/>
      <c r="V6" s="5"/>
      <c r="W6" s="5"/>
      <c r="X6" s="15"/>
      <c r="Y6" s="13"/>
    </row>
    <row r="7" spans="1:25" ht="15.75" customHeight="1">
      <c r="A7" s="75">
        <f>A6+14</f>
        <v>46471</v>
      </c>
      <c r="B7" s="2" t="s">
        <v>190</v>
      </c>
      <c r="C7" s="26" t="str">
        <f t="shared" si="0"/>
        <v>Mar</v>
      </c>
      <c r="D7" s="27" t="str">
        <f t="shared" si="1"/>
        <v>Thursday</v>
      </c>
      <c r="E7">
        <f>E6+2</f>
        <v>9</v>
      </c>
      <c r="F7" s="16" t="s">
        <v>327</v>
      </c>
      <c r="G7" s="14" t="s">
        <v>328</v>
      </c>
      <c r="H7" s="14" t="s">
        <v>328</v>
      </c>
      <c r="I7" s="98" t="s">
        <v>328</v>
      </c>
      <c r="J7" s="98" t="s">
        <v>328</v>
      </c>
      <c r="K7" s="102"/>
      <c r="L7" s="5"/>
      <c r="M7" s="5"/>
      <c r="N7" s="16"/>
      <c r="O7" s="35"/>
      <c r="P7" s="5"/>
      <c r="Q7" s="5"/>
      <c r="R7" s="5"/>
      <c r="S7" s="16"/>
      <c r="T7" s="35"/>
      <c r="U7" s="5"/>
      <c r="V7" s="5"/>
      <c r="W7" s="5"/>
      <c r="X7" s="15"/>
      <c r="Y7" s="13"/>
    </row>
    <row r="8" spans="1:25" ht="17.25" customHeight="1">
      <c r="A8" s="75">
        <f t="shared" ref="A8:A9" si="4">A7+14</f>
        <v>46485</v>
      </c>
      <c r="B8" s="2" t="s">
        <v>190</v>
      </c>
      <c r="C8" s="26" t="s">
        <v>209</v>
      </c>
      <c r="D8" s="27" t="str">
        <f t="shared" si="1"/>
        <v>Thursday</v>
      </c>
      <c r="E8">
        <v>11</v>
      </c>
      <c r="F8" s="16" t="s">
        <v>327</v>
      </c>
      <c r="G8" s="14" t="s">
        <v>328</v>
      </c>
      <c r="H8" s="14" t="s">
        <v>328</v>
      </c>
      <c r="I8" s="98" t="s">
        <v>328</v>
      </c>
      <c r="J8" s="98" t="s">
        <v>328</v>
      </c>
      <c r="K8" s="102"/>
      <c r="L8" s="5"/>
      <c r="M8" s="5"/>
      <c r="N8" s="16"/>
      <c r="O8" s="35"/>
      <c r="P8" s="5"/>
      <c r="Q8" s="5"/>
      <c r="R8" s="5"/>
      <c r="S8" s="16"/>
      <c r="T8" s="35"/>
      <c r="U8" s="5"/>
      <c r="V8" s="5"/>
      <c r="W8" s="5"/>
      <c r="X8" s="15"/>
      <c r="Y8" s="13"/>
    </row>
    <row r="9" spans="1:25" ht="18" customHeight="1">
      <c r="A9" s="75">
        <f t="shared" si="4"/>
        <v>46499</v>
      </c>
      <c r="B9" s="2" t="s">
        <v>190</v>
      </c>
      <c r="C9" s="26" t="s">
        <v>350</v>
      </c>
      <c r="D9" s="27" t="s">
        <v>278</v>
      </c>
      <c r="E9">
        <v>13</v>
      </c>
      <c r="F9" s="16" t="s">
        <v>327</v>
      </c>
      <c r="G9" s="14" t="s">
        <v>328</v>
      </c>
      <c r="H9" s="14" t="s">
        <v>328</v>
      </c>
      <c r="I9" s="98" t="s">
        <v>328</v>
      </c>
      <c r="J9" s="98" t="s">
        <v>328</v>
      </c>
      <c r="K9" s="102"/>
      <c r="L9" s="5"/>
      <c r="M9" s="5"/>
      <c r="N9" s="16"/>
      <c r="O9" s="35"/>
      <c r="P9" s="5"/>
      <c r="Q9" s="5"/>
      <c r="R9" s="5"/>
      <c r="S9" s="16"/>
      <c r="T9" s="35"/>
      <c r="U9" s="5"/>
      <c r="V9" s="5"/>
      <c r="W9" s="5"/>
      <c r="X9" s="15"/>
      <c r="Y9" s="13"/>
    </row>
    <row r="10" spans="1:25" ht="15" customHeight="1">
      <c r="A10" s="26"/>
      <c r="B10" s="26"/>
      <c r="C10" s="26"/>
      <c r="X10" s="20"/>
      <c r="Y10" s="18"/>
    </row>
    <row r="11" spans="1:25" ht="14.25" customHeight="1">
      <c r="A11" s="26"/>
      <c r="B11" s="26"/>
      <c r="C11" s="26"/>
    </row>
    <row r="12" spans="1:25" ht="16.5" customHeight="1">
      <c r="A12" s="26"/>
      <c r="B12" s="26"/>
      <c r="C12" s="26"/>
    </row>
    <row r="13" spans="1:25" ht="18.75" customHeight="1">
      <c r="A13" s="26"/>
      <c r="B13" s="26"/>
      <c r="C13" s="26"/>
    </row>
    <row r="14" spans="1:25" ht="18.75" customHeight="1"/>
    <row r="15" spans="1:25" ht="20.25" customHeight="1">
      <c r="A15" s="26"/>
      <c r="B15" s="26"/>
      <c r="C15" s="26"/>
      <c r="J15" s="129"/>
      <c r="K15" s="172"/>
      <c r="X15" s="20"/>
      <c r="Y15" s="18"/>
    </row>
    <row r="16" spans="1:25" ht="12.75" customHeight="1">
      <c r="A16" s="26"/>
      <c r="C16" s="26"/>
      <c r="I16" s="129"/>
    </row>
    <row r="17" spans="1:3">
      <c r="A17" s="26"/>
      <c r="B17" s="26"/>
      <c r="C17" s="26"/>
    </row>
    <row r="18" spans="1:3">
      <c r="A18" s="26"/>
      <c r="B18" s="26"/>
      <c r="C18" s="26"/>
    </row>
  </sheetData>
  <protectedRanges>
    <protectedRange algorithmName="SHA-512" hashValue="pQyTzP/d7t5ThMimBt5mu8gGozgAm1OwF6BMILsn5/kmtZ5mZf81NMi09wwU8mvtItxf0EVNWa6V4MCa0DKeSQ==" saltValue="NzZBiAQ1yFjat+SeIqh2Uw==" spinCount="100000" sqref="A15:E18" name="Range3_1"/>
    <protectedRange sqref="X15:Y15" name="Range8_1"/>
    <protectedRange algorithmName="SHA-512" hashValue="pQyTzP/d7t5ThMimBt5mu8gGozgAm1OwF6BMILsn5/kmtZ5mZf81NMi09wwU8mvtItxf0EVNWa6V4MCa0DKeSQ==" saltValue="NzZBiAQ1yFjat+SeIqh2Uw==" spinCount="100000" sqref="A3:E13" name="Range3_1_2"/>
    <protectedRange algorithmName="SHA-512" hashValue="JNB4nrqrfZD45ijUCOmyuk44ibTGOz2xPKKqUb8Fu6IzynfOW0Plt2J4MjvTXFpCm0cEkYqWWfoKwgUFnGztPw==" saltValue="gktf/myRKhBCN9s2pCislA==" spinCount="100000" sqref="A2:L2 N2:Y2" name="Range4_1_3"/>
    <protectedRange algorithmName="SHA-512" hashValue="B/N8xqtMc7pXr3rfrr4k91A6IFAPX6lxEHUr9qsJ3yHA+MBnFuw+x27DjsTYKp86iL5C7QQh1TPFTQHueWpZbw==" saltValue="c0IR/echnZmip5yS1t29Rw==" spinCount="100000" sqref="T3:T9" name="Range6_1_2"/>
    <protectedRange algorithmName="SHA-512" hashValue="BKDH3ki5lE3XQdc5qZnIH6o8wW8E0PkHgMZFCkv/XYDEa+b/qenui0oReDIqPDXHceUVJ+rEgU3I9CDBHraDYg==" saltValue="ruXqG4NOhhm7cSLor8wHfw==" spinCount="100000" sqref="O2:O9" name="Range7_1_2"/>
    <protectedRange sqref="X10:Y10 F3:Y9" name="Range8_1_2"/>
    <protectedRange algorithmName="SHA-512" hashValue="JNB4nrqrfZD45ijUCOmyuk44ibTGOz2xPKKqUb8Fu6IzynfOW0Plt2J4MjvTXFpCm0cEkYqWWfoKwgUFnGztPw==" saltValue="gktf/myRKhBCN9s2pCislA==" spinCount="100000" sqref="M2" name="Range4_1_1_2"/>
  </protectedRanges>
  <pageMargins left="0.7" right="0.7" top="0.75" bottom="0.75" header="0.3" footer="0.3"/>
  <pageSetup paperSize="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dimension ref="A1:Y18"/>
  <sheetViews>
    <sheetView workbookViewId="0">
      <selection activeCell="D30" sqref="D30"/>
    </sheetView>
  </sheetViews>
  <sheetFormatPr defaultRowHeight="1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351</v>
      </c>
      <c r="G3" s="14" t="s">
        <v>352</v>
      </c>
      <c r="H3" s="5" t="s">
        <v>200</v>
      </c>
      <c r="I3" s="98" t="s">
        <v>353</v>
      </c>
      <c r="J3" s="98" t="s">
        <v>354</v>
      </c>
      <c r="K3" s="73"/>
      <c r="L3" s="40"/>
      <c r="M3" s="40"/>
      <c r="N3" s="38"/>
      <c r="O3" s="35"/>
      <c r="P3" s="40"/>
      <c r="Q3" s="40"/>
      <c r="R3" s="40"/>
      <c r="S3" s="38"/>
      <c r="T3" s="35"/>
      <c r="U3" s="40"/>
      <c r="V3" s="40"/>
      <c r="W3" s="40"/>
      <c r="X3" s="46"/>
      <c r="Y3" s="44"/>
    </row>
    <row r="4" spans="1:25" ht="15.75" customHeight="1">
      <c r="A4" s="75">
        <f>A3+12</f>
        <v>46063</v>
      </c>
      <c r="B4" s="2" t="s">
        <v>355</v>
      </c>
      <c r="C4" s="26" t="str">
        <f t="shared" ref="C4:C10" si="0">TEXT(A4, "mmm")</f>
        <v>Feb</v>
      </c>
      <c r="D4" s="27" t="str">
        <f t="shared" ref="D4:D10" si="1">TEXT(A4, "dddd")</f>
        <v>Tuesday</v>
      </c>
      <c r="E4">
        <f>E3+2</f>
        <v>3</v>
      </c>
      <c r="F4" s="16" t="s">
        <v>356</v>
      </c>
      <c r="G4" s="16" t="s">
        <v>269</v>
      </c>
      <c r="H4" s="5" t="s">
        <v>87</v>
      </c>
      <c r="I4" s="98" t="s">
        <v>357</v>
      </c>
      <c r="J4" s="98" t="s">
        <v>358</v>
      </c>
      <c r="K4" s="102"/>
      <c r="L4" s="5"/>
      <c r="M4" s="5"/>
      <c r="N4" s="16"/>
      <c r="O4" s="35"/>
      <c r="P4" s="5"/>
      <c r="Q4" s="5"/>
      <c r="R4" s="5"/>
      <c r="S4" s="16"/>
      <c r="T4" s="35"/>
      <c r="U4" s="5"/>
      <c r="V4" s="5"/>
      <c r="W4" s="5"/>
      <c r="X4" s="15"/>
      <c r="Y4" s="13"/>
    </row>
    <row r="5" spans="1:25" ht="18.75" customHeight="1">
      <c r="A5" s="75">
        <f>A4+16</f>
        <v>46079</v>
      </c>
      <c r="B5" s="2" t="s">
        <v>190</v>
      </c>
      <c r="C5" s="26" t="str">
        <f t="shared" si="0"/>
        <v>Feb</v>
      </c>
      <c r="D5" s="27" t="str">
        <f t="shared" si="1"/>
        <v>Thursday</v>
      </c>
      <c r="E5">
        <f t="shared" ref="E5:E6" si="2">E4+2</f>
        <v>5</v>
      </c>
      <c r="F5" s="16" t="s">
        <v>359</v>
      </c>
      <c r="G5" s="14" t="s">
        <v>360</v>
      </c>
      <c r="H5" s="5" t="s">
        <v>87</v>
      </c>
      <c r="I5" s="98" t="s">
        <v>361</v>
      </c>
      <c r="J5" s="98" t="s">
        <v>362</v>
      </c>
      <c r="K5" s="102"/>
      <c r="L5" s="5"/>
      <c r="M5" s="5"/>
      <c r="N5" s="16"/>
      <c r="O5" s="35" t="s">
        <v>363</v>
      </c>
      <c r="P5" s="5" t="s">
        <v>364</v>
      </c>
      <c r="Q5" s="5"/>
      <c r="R5" s="5"/>
      <c r="S5" s="16"/>
      <c r="T5" s="35"/>
      <c r="U5" s="5"/>
      <c r="V5" s="5"/>
      <c r="W5" s="5"/>
      <c r="X5" s="15"/>
      <c r="Y5" s="13"/>
    </row>
    <row r="6" spans="1:25" ht="15.75" customHeight="1">
      <c r="A6" s="75">
        <f>A5+14</f>
        <v>46093</v>
      </c>
      <c r="B6" s="2" t="s">
        <v>190</v>
      </c>
      <c r="C6" s="26" t="str">
        <f t="shared" si="0"/>
        <v>Mar</v>
      </c>
      <c r="D6" s="27" t="str">
        <f t="shared" si="1"/>
        <v>Thursday</v>
      </c>
      <c r="E6">
        <f t="shared" si="2"/>
        <v>7</v>
      </c>
      <c r="F6" s="16" t="s">
        <v>365</v>
      </c>
      <c r="G6" s="14" t="s">
        <v>152</v>
      </c>
      <c r="H6" s="5" t="s">
        <v>95</v>
      </c>
      <c r="I6" s="98" t="s">
        <v>366</v>
      </c>
      <c r="J6" s="98" t="s">
        <v>367</v>
      </c>
      <c r="K6" s="102"/>
      <c r="L6" s="24" t="s">
        <v>368</v>
      </c>
      <c r="M6" s="24" t="s">
        <v>369</v>
      </c>
      <c r="N6" s="16"/>
      <c r="O6" s="35"/>
      <c r="P6" s="5"/>
      <c r="Q6" s="5"/>
      <c r="R6" s="5"/>
      <c r="S6" s="16"/>
      <c r="T6" s="35"/>
      <c r="U6" s="5"/>
      <c r="V6" s="5"/>
      <c r="W6" s="5"/>
      <c r="X6" s="15"/>
      <c r="Y6" s="13"/>
    </row>
    <row r="7" spans="1:25" ht="15.75" customHeight="1">
      <c r="A7" s="75">
        <f>A6+7</f>
        <v>46100</v>
      </c>
      <c r="B7" s="2" t="s">
        <v>190</v>
      </c>
      <c r="C7" s="26" t="s">
        <v>198</v>
      </c>
      <c r="D7" s="27" t="s">
        <v>278</v>
      </c>
      <c r="E7">
        <v>8</v>
      </c>
      <c r="F7" s="16" t="s">
        <v>370</v>
      </c>
      <c r="G7" s="14" t="s">
        <v>77</v>
      </c>
      <c r="H7" s="5" t="s">
        <v>101</v>
      </c>
      <c r="I7" s="98" t="s">
        <v>371</v>
      </c>
      <c r="J7" s="98" t="s">
        <v>372</v>
      </c>
      <c r="K7" s="102" t="s">
        <v>373</v>
      </c>
      <c r="L7" s="24" t="s">
        <v>374</v>
      </c>
      <c r="M7" s="24" t="s">
        <v>375</v>
      </c>
      <c r="N7" s="16"/>
      <c r="O7" s="35"/>
      <c r="P7" s="5"/>
      <c r="Q7" s="5"/>
      <c r="R7" s="5"/>
      <c r="S7" s="16"/>
      <c r="T7" s="35"/>
      <c r="U7" s="5"/>
      <c r="V7" s="5"/>
      <c r="W7" s="5"/>
      <c r="X7" s="15"/>
      <c r="Y7" s="13"/>
    </row>
    <row r="8" spans="1:25" ht="17.25" customHeight="1">
      <c r="A8" s="75">
        <f>A6+14</f>
        <v>46107</v>
      </c>
      <c r="B8" s="2" t="s">
        <v>190</v>
      </c>
      <c r="C8" s="26" t="str">
        <f t="shared" si="0"/>
        <v>Mar</v>
      </c>
      <c r="D8" s="27" t="str">
        <f t="shared" si="1"/>
        <v>Thursday</v>
      </c>
      <c r="E8">
        <f>E6+2</f>
        <v>9</v>
      </c>
      <c r="F8" s="16" t="s">
        <v>376</v>
      </c>
      <c r="G8" s="14" t="s">
        <v>52</v>
      </c>
      <c r="H8" s="5" t="s">
        <v>87</v>
      </c>
      <c r="I8" s="98" t="s">
        <v>377</v>
      </c>
      <c r="J8" s="98" t="s">
        <v>378</v>
      </c>
      <c r="K8" s="102"/>
      <c r="L8" s="5"/>
      <c r="M8" s="5"/>
      <c r="N8" s="16"/>
      <c r="O8" s="35"/>
      <c r="P8" s="5" t="s">
        <v>379</v>
      </c>
      <c r="Q8" s="5"/>
      <c r="R8" s="5"/>
      <c r="S8" s="16"/>
      <c r="T8" s="35"/>
      <c r="U8" s="5"/>
      <c r="V8" s="5"/>
      <c r="W8" s="5"/>
      <c r="X8" s="15"/>
      <c r="Y8" s="13"/>
    </row>
    <row r="9" spans="1:25" ht="18" customHeight="1">
      <c r="A9" s="75">
        <f>A8+7</f>
        <v>46114</v>
      </c>
      <c r="B9" s="2" t="s">
        <v>190</v>
      </c>
      <c r="C9" s="26" t="s">
        <v>209</v>
      </c>
      <c r="D9" s="27" t="s">
        <v>278</v>
      </c>
      <c r="E9">
        <v>10</v>
      </c>
      <c r="F9" s="16" t="s">
        <v>380</v>
      </c>
      <c r="G9" s="14" t="s">
        <v>322</v>
      </c>
      <c r="H9" s="5" t="s">
        <v>101</v>
      </c>
      <c r="I9" s="98" t="s">
        <v>381</v>
      </c>
      <c r="J9" s="98" t="s">
        <v>382</v>
      </c>
      <c r="K9" s="102" t="s">
        <v>383</v>
      </c>
      <c r="L9" s="24" t="s">
        <v>384</v>
      </c>
      <c r="M9" s="24" t="s">
        <v>385</v>
      </c>
      <c r="N9" s="16"/>
      <c r="O9" s="35"/>
      <c r="P9" s="5"/>
      <c r="Q9" s="5"/>
      <c r="R9" s="5"/>
      <c r="S9" s="16"/>
      <c r="T9" s="35"/>
      <c r="U9" s="5"/>
      <c r="V9" s="5"/>
      <c r="W9" s="5"/>
      <c r="X9" s="15"/>
      <c r="Y9" s="13"/>
    </row>
    <row r="10" spans="1:25" ht="15" customHeight="1">
      <c r="A10" s="75">
        <v>46120</v>
      </c>
      <c r="B10" s="2" t="s">
        <v>190</v>
      </c>
      <c r="C10" s="26" t="str">
        <f t="shared" si="0"/>
        <v>Apr</v>
      </c>
      <c r="D10" s="27" t="str">
        <f t="shared" si="1"/>
        <v>Wednesday</v>
      </c>
      <c r="E10">
        <v>11</v>
      </c>
      <c r="F10" s="16" t="s">
        <v>386</v>
      </c>
      <c r="G10" s="14" t="s">
        <v>77</v>
      </c>
      <c r="H10" s="5" t="s">
        <v>87</v>
      </c>
      <c r="I10" s="98" t="s">
        <v>387</v>
      </c>
      <c r="J10" s="98" t="s">
        <v>388</v>
      </c>
      <c r="K10" s="102"/>
      <c r="L10" s="5"/>
      <c r="M10" s="5"/>
      <c r="N10" s="16"/>
      <c r="O10" s="35"/>
      <c r="P10" s="5"/>
      <c r="Q10" s="5"/>
      <c r="R10" s="5"/>
      <c r="S10" s="16"/>
      <c r="T10" s="35"/>
      <c r="U10" s="5"/>
      <c r="V10" s="5"/>
      <c r="W10" s="5"/>
      <c r="X10" s="15"/>
      <c r="Y10" s="13"/>
    </row>
    <row r="11" spans="1:25" ht="14.25" customHeight="1">
      <c r="A11" s="75">
        <v>46121</v>
      </c>
      <c r="B11" s="2" t="s">
        <v>355</v>
      </c>
      <c r="C11" s="26" t="s">
        <v>209</v>
      </c>
      <c r="D11" s="27" t="s">
        <v>278</v>
      </c>
      <c r="E11">
        <v>11</v>
      </c>
      <c r="F11" s="16" t="s">
        <v>389</v>
      </c>
      <c r="G11" s="14" t="s">
        <v>195</v>
      </c>
      <c r="H11" s="5" t="s">
        <v>87</v>
      </c>
      <c r="I11" s="98" t="s">
        <v>390</v>
      </c>
      <c r="J11" s="98" t="s">
        <v>391</v>
      </c>
      <c r="K11" s="102" t="s">
        <v>392</v>
      </c>
      <c r="L11" s="5"/>
      <c r="M11" s="24" t="s">
        <v>393</v>
      </c>
      <c r="N11" s="16"/>
      <c r="O11" s="35"/>
      <c r="P11" s="5"/>
      <c r="Q11" s="5"/>
      <c r="R11" s="5"/>
      <c r="S11" s="16"/>
      <c r="T11" s="35"/>
      <c r="U11" s="5"/>
      <c r="V11" s="5"/>
      <c r="W11" s="5"/>
      <c r="X11" s="15"/>
      <c r="Y11" s="13"/>
    </row>
    <row r="12" spans="1:25" ht="16.5" customHeight="1">
      <c r="A12" s="75">
        <v>46128</v>
      </c>
      <c r="B12" s="2" t="s">
        <v>190</v>
      </c>
      <c r="C12" s="26" t="str">
        <f t="shared" ref="C12" si="3">TEXT(A12, "mmm")</f>
        <v>Apr</v>
      </c>
      <c r="D12" s="27" t="str">
        <f t="shared" ref="D12" si="4">TEXT(A12, "dddd")</f>
        <v>Thursday</v>
      </c>
      <c r="E12">
        <v>12</v>
      </c>
      <c r="F12" s="16" t="s">
        <v>394</v>
      </c>
      <c r="G12" s="14" t="s">
        <v>195</v>
      </c>
      <c r="H12" s="5" t="s">
        <v>78</v>
      </c>
      <c r="I12" s="98" t="s">
        <v>395</v>
      </c>
      <c r="J12" s="98" t="s">
        <v>396</v>
      </c>
      <c r="K12" s="102" t="s">
        <v>397</v>
      </c>
      <c r="L12" s="5"/>
      <c r="M12" s="24" t="s">
        <v>398</v>
      </c>
      <c r="N12" s="16"/>
      <c r="O12" s="35"/>
      <c r="P12" s="5"/>
      <c r="Q12" s="5"/>
      <c r="R12" s="5"/>
      <c r="S12" s="16"/>
      <c r="T12" s="35"/>
      <c r="U12" s="5"/>
      <c r="V12" s="5"/>
      <c r="W12" s="5"/>
      <c r="X12" s="15"/>
      <c r="Y12" s="13"/>
    </row>
    <row r="13" spans="1:25" ht="18.75" customHeight="1">
      <c r="A13" s="75">
        <v>46135</v>
      </c>
      <c r="B13" s="2" t="s">
        <v>190</v>
      </c>
      <c r="C13" s="26" t="s">
        <v>209</v>
      </c>
      <c r="D13" s="27" t="s">
        <v>278</v>
      </c>
      <c r="E13">
        <v>13</v>
      </c>
      <c r="F13" s="16" t="s">
        <v>399</v>
      </c>
      <c r="G13" s="14" t="s">
        <v>73</v>
      </c>
      <c r="H13" s="5" t="s">
        <v>95</v>
      </c>
      <c r="I13" s="98" t="s">
        <v>400</v>
      </c>
      <c r="J13" s="98" t="s">
        <v>401</v>
      </c>
      <c r="K13" s="102"/>
      <c r="L13" s="5"/>
      <c r="M13" s="5"/>
      <c r="N13" s="16"/>
      <c r="O13" s="35"/>
      <c r="P13" s="5"/>
      <c r="Q13" s="5"/>
      <c r="R13" s="5"/>
      <c r="S13" s="16"/>
      <c r="T13" s="35"/>
      <c r="U13" s="5"/>
      <c r="V13" s="5"/>
      <c r="W13" s="5"/>
      <c r="X13" s="15"/>
      <c r="Y13" s="13"/>
    </row>
    <row r="14" spans="1:25" ht="18.75" customHeight="1">
      <c r="A14" s="75">
        <v>46142</v>
      </c>
      <c r="B14" s="26" t="s">
        <v>259</v>
      </c>
      <c r="C14" s="26" t="s">
        <v>350</v>
      </c>
      <c r="D14" s="27" t="s">
        <v>278</v>
      </c>
      <c r="E14">
        <v>14</v>
      </c>
      <c r="F14" s="14" t="s">
        <v>402</v>
      </c>
      <c r="G14" s="14" t="s">
        <v>403</v>
      </c>
      <c r="H14" s="14" t="s">
        <v>404</v>
      </c>
      <c r="I14" s="14" t="s">
        <v>405</v>
      </c>
      <c r="J14" s="107" t="s">
        <v>406</v>
      </c>
      <c r="K14" s="102" t="s">
        <v>407</v>
      </c>
      <c r="L14" s="14"/>
      <c r="M14" s="102" t="s">
        <v>408</v>
      </c>
      <c r="N14" s="14"/>
      <c r="O14" s="35"/>
      <c r="P14" s="14"/>
      <c r="Q14" s="14"/>
      <c r="R14" s="14"/>
      <c r="S14" s="14"/>
      <c r="T14" s="35"/>
      <c r="U14" s="14"/>
      <c r="V14" s="14"/>
      <c r="W14" s="14"/>
      <c r="X14" s="15"/>
      <c r="Y14" s="13"/>
    </row>
    <row r="15" spans="1:25" ht="20.25" customHeight="1" thickBot="1">
      <c r="A15" s="26">
        <v>46155</v>
      </c>
      <c r="B15" s="26" t="s">
        <v>190</v>
      </c>
      <c r="C15" s="26" t="s">
        <v>350</v>
      </c>
      <c r="D15" t="s">
        <v>409</v>
      </c>
      <c r="E15">
        <v>16</v>
      </c>
      <c r="F15" t="s">
        <v>410</v>
      </c>
      <c r="G15" t="s">
        <v>411</v>
      </c>
      <c r="H15" t="s">
        <v>40</v>
      </c>
      <c r="I15" t="s">
        <v>412</v>
      </c>
      <c r="J15" s="129" t="s">
        <v>413</v>
      </c>
      <c r="K15" s="172" t="s">
        <v>414</v>
      </c>
      <c r="M15" t="s">
        <v>415</v>
      </c>
      <c r="X15" s="20"/>
      <c r="Y15" s="18"/>
    </row>
    <row r="16" spans="1:25" ht="12.75" customHeight="1">
      <c r="A16" s="26">
        <v>46176</v>
      </c>
      <c r="B16" t="s">
        <v>416</v>
      </c>
      <c r="C16" s="26" t="s">
        <v>417</v>
      </c>
      <c r="D16" t="s">
        <v>409</v>
      </c>
      <c r="E16">
        <v>19</v>
      </c>
      <c r="F16" t="s">
        <v>418</v>
      </c>
      <c r="G16" t="s">
        <v>419</v>
      </c>
      <c r="H16" t="s">
        <v>224</v>
      </c>
      <c r="I16" s="129" t="s">
        <v>420</v>
      </c>
      <c r="J16" t="s">
        <v>421</v>
      </c>
    </row>
    <row r="17" spans="1:3">
      <c r="A17" s="26"/>
      <c r="B17" s="26"/>
      <c r="C17" s="26"/>
    </row>
    <row r="18" spans="1:3">
      <c r="A18" s="26"/>
      <c r="B18" s="26"/>
      <c r="C18" s="26"/>
    </row>
  </sheetData>
  <protectedRanges>
    <protectedRange algorithmName="SHA-512" hashValue="pQyTzP/d7t5ThMimBt5mu8gGozgAm1OwF6BMILsn5/kmtZ5mZf81NMi09wwU8mvtItxf0EVNWa6V4MCa0DKeSQ==" saltValue="NzZBiAQ1yFjat+SeIqh2Uw==" spinCount="100000" sqref="A3:E18"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4" name="Range6_1"/>
    <protectedRange algorithmName="SHA-512" hashValue="BKDH3ki5lE3XQdc5qZnIH6o8wW8E0PkHgMZFCkv/XYDEa+b/qenui0oReDIqPDXHceUVJ+rEgU3I9CDBHraDYg==" saltValue="ruXqG4NOhhm7cSLor8wHfw==" spinCount="100000" sqref="O2:O14" name="Range7_1"/>
    <protectedRange sqref="X15:Y15 F3:Y14"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2" r:id="rId4" xr:uid="{CA8FFAFE-0C05-4395-B597-29714402C65D}"/>
    <hyperlink ref="K12"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 ref="M11" r:id="rId11" xr:uid="{942C7964-68D4-4F8F-8947-80A84887C647}"/>
    <hyperlink ref="K11" r:id="rId12" xr:uid="{460148DF-9775-4F8A-91F3-89030F1FC4E8}"/>
    <hyperlink ref="M14" r:id="rId13" xr:uid="{8D133BC0-60B4-4F75-84B7-5C8F4452AAD4}"/>
    <hyperlink ref="K14" r:id="rId14" xr:uid="{F5CA8E46-DA4D-40A2-B71F-BC8C3D5249DB}"/>
    <hyperlink ref="K15" r:id="rId15" xr:uid="{E8AE30CF-C39D-45BD-88FA-74BD7A1EDBAB}"/>
  </hyperlinks>
  <pageMargins left="0.7" right="0.7" top="0.75" bottom="0.75" header="0.3" footer="0.3"/>
  <pageSetup paperSize="0" orientation="portrait" r:id="rId1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0"/>
  <sheetViews>
    <sheetView workbookViewId="0">
      <selection activeCell="A23" sqref="A23:C25"/>
    </sheetView>
  </sheetViews>
  <sheetFormatPr defaultRowHeight="15"/>
  <cols>
    <col min="1" max="1" width="31.28515625" customWidth="1"/>
    <col min="2" max="2" width="26" customWidth="1"/>
    <col min="3" max="3" width="20.140625" customWidth="1"/>
  </cols>
  <sheetData>
    <row r="1" spans="1:3">
      <c r="A1" t="s">
        <v>422</v>
      </c>
    </row>
    <row r="2" spans="1:3">
      <c r="A2" s="55" t="s">
        <v>423</v>
      </c>
      <c r="B2" s="54" t="s">
        <v>424</v>
      </c>
      <c r="C2" s="54" t="s">
        <v>425</v>
      </c>
    </row>
    <row r="3" spans="1:3">
      <c r="A3" s="136" t="s">
        <v>426</v>
      </c>
      <c r="B3" s="137"/>
      <c r="C3" s="138" t="s">
        <v>224</v>
      </c>
    </row>
    <row r="4" spans="1:3">
      <c r="A4" s="5" t="s">
        <v>427</v>
      </c>
      <c r="B4" s="52"/>
      <c r="C4" s="50" t="s">
        <v>31</v>
      </c>
    </row>
    <row r="5" spans="1:3">
      <c r="A5" s="52" t="s">
        <v>428</v>
      </c>
      <c r="B5" s="52"/>
      <c r="C5" s="50" t="s">
        <v>429</v>
      </c>
    </row>
    <row r="6" spans="1:3">
      <c r="A6" s="52" t="s">
        <v>430</v>
      </c>
      <c r="B6" s="52" t="s">
        <v>431</v>
      </c>
      <c r="C6" s="50" t="s">
        <v>87</v>
      </c>
    </row>
    <row r="7" spans="1:3">
      <c r="A7" s="52" t="s">
        <v>432</v>
      </c>
      <c r="B7" s="52" t="s">
        <v>433</v>
      </c>
      <c r="C7" s="50" t="s">
        <v>87</v>
      </c>
    </row>
    <row r="8" spans="1:3">
      <c r="A8" s="52" t="s">
        <v>434</v>
      </c>
      <c r="B8" s="52" t="s">
        <v>435</v>
      </c>
      <c r="C8" s="50" t="s">
        <v>101</v>
      </c>
    </row>
    <row r="9" spans="1:3">
      <c r="A9" s="52" t="s">
        <v>436</v>
      </c>
      <c r="B9" s="52"/>
      <c r="C9" s="50"/>
    </row>
    <row r="10" spans="1:3">
      <c r="A10" s="52" t="s">
        <v>437</v>
      </c>
      <c r="B10" s="52" t="s">
        <v>438</v>
      </c>
      <c r="C10" s="50" t="s">
        <v>439</v>
      </c>
    </row>
    <row r="11" spans="1:3">
      <c r="A11" s="52" t="s">
        <v>440</v>
      </c>
      <c r="B11" s="52" t="s">
        <v>441</v>
      </c>
      <c r="C11" s="50" t="s">
        <v>331</v>
      </c>
    </row>
    <row r="12" spans="1:3">
      <c r="A12" s="52" t="s">
        <v>442</v>
      </c>
      <c r="B12" s="52" t="s">
        <v>443</v>
      </c>
      <c r="C12" s="50" t="s">
        <v>331</v>
      </c>
    </row>
    <row r="13" spans="1:3">
      <c r="A13" s="52" t="s">
        <v>444</v>
      </c>
      <c r="B13" s="52" t="s">
        <v>445</v>
      </c>
      <c r="C13" s="50" t="s">
        <v>331</v>
      </c>
    </row>
    <row r="14" spans="1:3">
      <c r="A14" s="52" t="s">
        <v>446</v>
      </c>
      <c r="B14" s="52" t="s">
        <v>447</v>
      </c>
      <c r="C14" s="50" t="s">
        <v>331</v>
      </c>
    </row>
    <row r="15" spans="1:3">
      <c r="A15" s="52" t="s">
        <v>448</v>
      </c>
      <c r="B15" s="52" t="s">
        <v>449</v>
      </c>
      <c r="C15" s="50" t="s">
        <v>331</v>
      </c>
    </row>
    <row r="16" spans="1:3">
      <c r="A16" s="137" t="s">
        <v>321</v>
      </c>
      <c r="B16" s="137" t="s">
        <v>450</v>
      </c>
      <c r="C16" s="139" t="s">
        <v>451</v>
      </c>
    </row>
    <row r="17" spans="1:3">
      <c r="A17" s="137" t="s">
        <v>370</v>
      </c>
      <c r="B17" s="137" t="s">
        <v>330</v>
      </c>
      <c r="C17" s="139" t="s">
        <v>451</v>
      </c>
    </row>
    <row r="18" spans="1:3">
      <c r="A18" s="52" t="s">
        <v>452</v>
      </c>
      <c r="B18" s="52" t="s">
        <v>431</v>
      </c>
      <c r="C18" s="50" t="s">
        <v>87</v>
      </c>
    </row>
    <row r="19" spans="1:3">
      <c r="A19" s="53" t="s">
        <v>453</v>
      </c>
      <c r="B19" s="53" t="s">
        <v>230</v>
      </c>
      <c r="C19" s="51" t="s">
        <v>454</v>
      </c>
    </row>
    <row r="20" spans="1:3">
      <c r="A20" t="s">
        <v>455</v>
      </c>
      <c r="B20" t="s">
        <v>456</v>
      </c>
    </row>
  </sheetData>
  <protectedRanges>
    <protectedRange sqref="A3" name="Range8_3"/>
    <protectedRange sqref="C3" name="Range8_4"/>
    <protectedRange sqref="A4" name="Range8_5"/>
  </protectedRange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3" sqref="C13"/>
    </sheetView>
  </sheetViews>
  <sheetFormatPr defaultRowHeight="15"/>
  <cols>
    <col min="1" max="1" width="17.85546875" customWidth="1"/>
    <col min="6" max="6" width="14.5703125" customWidth="1"/>
  </cols>
  <sheetData>
    <row r="1" spans="1:9" ht="15.75" thickBot="1">
      <c r="A1" s="135" t="s">
        <v>3</v>
      </c>
      <c r="B1" s="131" t="s">
        <v>457</v>
      </c>
      <c r="C1" s="130" t="s">
        <v>458</v>
      </c>
    </row>
    <row r="2" spans="1:9">
      <c r="A2" s="169">
        <v>46051</v>
      </c>
      <c r="B2" s="170">
        <v>1</v>
      </c>
      <c r="C2" s="170" t="s">
        <v>459</v>
      </c>
      <c r="F2" s="75"/>
      <c r="G2" s="77"/>
      <c r="H2" s="29"/>
      <c r="I2" s="55"/>
    </row>
    <row r="3" spans="1:9">
      <c r="A3" s="171">
        <f>A2+7</f>
        <v>46058</v>
      </c>
      <c r="B3" s="170">
        <f>B2+1</f>
        <v>2</v>
      </c>
      <c r="C3" s="170" t="s">
        <v>327</v>
      </c>
      <c r="F3" s="75"/>
      <c r="G3" s="2"/>
      <c r="H3" s="26"/>
      <c r="I3" s="27"/>
    </row>
    <row r="4" spans="1:9">
      <c r="A4" s="171">
        <f t="shared" ref="A4:A12" si="0">A3+7</f>
        <v>46065</v>
      </c>
      <c r="B4" s="170">
        <f t="shared" ref="B4:B11" si="1">B3+1</f>
        <v>3</v>
      </c>
      <c r="C4" s="170" t="s">
        <v>459</v>
      </c>
      <c r="F4" s="75"/>
      <c r="G4" s="2"/>
      <c r="H4" s="26"/>
      <c r="I4" s="27"/>
    </row>
    <row r="5" spans="1:9">
      <c r="A5" s="171">
        <f t="shared" si="0"/>
        <v>46072</v>
      </c>
      <c r="B5" s="170">
        <f t="shared" si="1"/>
        <v>4</v>
      </c>
      <c r="C5" s="170" t="s">
        <v>327</v>
      </c>
      <c r="F5" s="75"/>
      <c r="G5" s="2"/>
      <c r="H5" s="26"/>
      <c r="I5" s="27"/>
    </row>
    <row r="6" spans="1:9">
      <c r="A6" s="133">
        <f t="shared" si="0"/>
        <v>46079</v>
      </c>
      <c r="B6" s="134">
        <f t="shared" si="1"/>
        <v>5</v>
      </c>
      <c r="C6" s="134" t="s">
        <v>459</v>
      </c>
      <c r="F6" s="75"/>
      <c r="G6" s="2"/>
      <c r="H6" s="26"/>
      <c r="I6" s="27"/>
    </row>
    <row r="7" spans="1:9">
      <c r="A7" s="133">
        <f t="shared" si="0"/>
        <v>46086</v>
      </c>
      <c r="B7" s="134">
        <f t="shared" si="1"/>
        <v>6</v>
      </c>
      <c r="C7" s="134" t="s">
        <v>327</v>
      </c>
      <c r="F7" s="75"/>
      <c r="G7" s="2"/>
      <c r="H7" s="26"/>
      <c r="I7" s="27"/>
    </row>
    <row r="8" spans="1:9">
      <c r="A8" s="133">
        <f t="shared" si="0"/>
        <v>46093</v>
      </c>
      <c r="B8" s="134">
        <f t="shared" si="1"/>
        <v>7</v>
      </c>
      <c r="C8" s="134" t="s">
        <v>460</v>
      </c>
      <c r="F8" s="75"/>
      <c r="G8" s="2"/>
      <c r="H8" s="26"/>
      <c r="I8" s="27"/>
    </row>
    <row r="9" spans="1:9">
      <c r="A9" s="133">
        <f t="shared" si="0"/>
        <v>46100</v>
      </c>
      <c r="B9" s="134">
        <f t="shared" si="1"/>
        <v>8</v>
      </c>
      <c r="C9" s="134" t="s">
        <v>459</v>
      </c>
      <c r="F9" s="75"/>
      <c r="G9" s="2"/>
      <c r="H9" s="26"/>
      <c r="I9" s="27"/>
    </row>
    <row r="10" spans="1:9">
      <c r="A10" s="133">
        <f t="shared" si="0"/>
        <v>46107</v>
      </c>
      <c r="B10" s="134">
        <f t="shared" si="1"/>
        <v>9</v>
      </c>
      <c r="C10" s="134" t="s">
        <v>460</v>
      </c>
      <c r="F10" s="75"/>
      <c r="G10" s="2"/>
      <c r="H10" s="26"/>
      <c r="I10" s="27"/>
    </row>
    <row r="11" spans="1:9">
      <c r="A11" s="133">
        <f t="shared" si="0"/>
        <v>46114</v>
      </c>
      <c r="B11" s="134">
        <f t="shared" si="1"/>
        <v>10</v>
      </c>
      <c r="C11" s="134" t="s">
        <v>459</v>
      </c>
    </row>
    <row r="12" spans="1:9">
      <c r="A12" s="133">
        <f t="shared" si="0"/>
        <v>46121</v>
      </c>
      <c r="B12" s="134">
        <f t="shared" ref="B12:B14" si="2">B11+1</f>
        <v>11</v>
      </c>
      <c r="C12" s="134" t="s">
        <v>459</v>
      </c>
    </row>
    <row r="13" spans="1:9">
      <c r="A13" s="133">
        <f t="shared" ref="A13:A14" si="3">A12+7</f>
        <v>46128</v>
      </c>
      <c r="B13" s="134">
        <f t="shared" si="2"/>
        <v>12</v>
      </c>
      <c r="C13" s="134" t="s">
        <v>459</v>
      </c>
    </row>
    <row r="14" spans="1:9">
      <c r="A14" s="133">
        <f t="shared" si="3"/>
        <v>46135</v>
      </c>
      <c r="B14" s="134">
        <f t="shared" si="2"/>
        <v>13</v>
      </c>
      <c r="C14" s="134" t="s">
        <v>459</v>
      </c>
    </row>
    <row r="15" spans="1:9">
      <c r="A15" s="133"/>
      <c r="B15" s="134"/>
      <c r="C15" s="134"/>
    </row>
    <row r="16" spans="1:9">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461</v>
      </c>
    </row>
    <row r="3" spans="1:9" ht="18.75">
      <c r="A3" s="79" t="s">
        <v>462</v>
      </c>
    </row>
    <row r="5" spans="1:9" ht="37.5">
      <c r="A5" s="80" t="s">
        <v>3</v>
      </c>
      <c r="B5" s="80" t="s">
        <v>4</v>
      </c>
      <c r="C5" s="80" t="s">
        <v>5</v>
      </c>
      <c r="D5" s="80" t="s">
        <v>137</v>
      </c>
      <c r="E5" s="80" t="s">
        <v>189</v>
      </c>
      <c r="F5" s="80" t="s">
        <v>8</v>
      </c>
      <c r="G5" s="80" t="s">
        <v>9</v>
      </c>
      <c r="H5" s="82" t="s">
        <v>463</v>
      </c>
      <c r="I5" s="81" t="s">
        <v>11</v>
      </c>
    </row>
    <row r="6" spans="1:9" ht="18.75">
      <c r="A6" s="92">
        <v>45694</v>
      </c>
      <c r="B6" s="92" t="s">
        <v>190</v>
      </c>
      <c r="C6" s="92" t="s">
        <v>191</v>
      </c>
      <c r="D6" s="93" t="s">
        <v>278</v>
      </c>
      <c r="E6" s="93">
        <v>2</v>
      </c>
      <c r="F6" s="85" t="s">
        <v>40</v>
      </c>
      <c r="G6" s="85" t="s">
        <v>68</v>
      </c>
      <c r="H6" s="85"/>
      <c r="I6" s="84" t="s">
        <v>328</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409</v>
      </c>
      <c r="E9" s="94">
        <v>8</v>
      </c>
      <c r="F9" s="87" t="s">
        <v>204</v>
      </c>
      <c r="G9" s="87" t="s">
        <v>205</v>
      </c>
      <c r="H9" s="87" t="s">
        <v>206</v>
      </c>
      <c r="I9" s="86" t="s">
        <v>328</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464</v>
      </c>
      <c r="G11" s="87" t="s">
        <v>68</v>
      </c>
      <c r="H11" s="87"/>
      <c r="I11" s="86" t="s">
        <v>328</v>
      </c>
    </row>
    <row r="12" spans="1:9" ht="18.75">
      <c r="A12" s="83">
        <v>45758</v>
      </c>
      <c r="B12" s="83" t="s">
        <v>28</v>
      </c>
      <c r="C12" s="83" t="s">
        <v>209</v>
      </c>
      <c r="D12" s="94" t="s">
        <v>214</v>
      </c>
      <c r="E12" s="94">
        <v>11</v>
      </c>
      <c r="F12" s="87" t="s">
        <v>229</v>
      </c>
      <c r="G12" s="87" t="s">
        <v>172</v>
      </c>
      <c r="H12" s="87" t="s">
        <v>31</v>
      </c>
      <c r="I12" s="86" t="s">
        <v>328</v>
      </c>
    </row>
    <row r="13" spans="1:9" ht="18.75">
      <c r="A13" s="83">
        <v>45764</v>
      </c>
      <c r="B13" s="83" t="s">
        <v>190</v>
      </c>
      <c r="C13" s="83" t="s">
        <v>209</v>
      </c>
      <c r="D13" s="94" t="s">
        <v>278</v>
      </c>
      <c r="E13" s="94">
        <v>12</v>
      </c>
      <c r="F13" s="87" t="s">
        <v>465</v>
      </c>
      <c r="G13" s="87"/>
      <c r="H13" s="87"/>
      <c r="I13" s="86"/>
    </row>
    <row r="14" spans="1:9" ht="18.75">
      <c r="A14" s="88">
        <v>45771</v>
      </c>
      <c r="B14" s="88" t="s">
        <v>190</v>
      </c>
      <c r="C14" s="88" t="s">
        <v>209</v>
      </c>
      <c r="D14" s="95" t="s">
        <v>278</v>
      </c>
      <c r="E14" s="95">
        <v>13</v>
      </c>
      <c r="F14" s="90" t="s">
        <v>466</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Metadata/LabelInfo.xml><?xml version="1.0" encoding="utf-8"?>
<clbl:labelList xmlns:clbl="http://schemas.microsoft.com/office/2020/mipLabelMetadata">
  <clbl:label id="{0084b924-3ab4-4116-9251-9939f695e54c}" enabled="0" method="" siteId="{0084b924-3ab4-4116-9251-9939f695e54c}"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2026-09-22T17:56:35Z</dcterms:modified>
  <cp:category/>
  <cp:contentStatus/>
</cp:coreProperties>
</file>