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15"/>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420" documentId="13_ncr:1_{12BE53B5-C8C7-44FE-8280-19C653D9122E}" xr6:coauthVersionLast="47" xr6:coauthVersionMax="47" xr10:uidLastSave="{2C7A8884-F82B-402B-8234-55823CB0D8A3}"/>
  <bookViews>
    <workbookView xWindow="28680" yWindow="-120" windowWidth="29040" windowHeight="15720"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9" l="1"/>
  <c r="D12" i="9"/>
  <c r="A4" i="9"/>
  <c r="A5" i="9"/>
  <c r="D10" i="9"/>
  <c r="C10" i="9"/>
  <c r="E4" i="10"/>
  <c r="E5" i="10"/>
  <c r="E6" i="10"/>
  <c r="E7" i="10"/>
  <c r="A4" i="10"/>
  <c r="D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A5" i="10"/>
  <c r="A6" i="10"/>
  <c r="C6" i="10"/>
  <c r="C4" i="10"/>
  <c r="C12" i="7"/>
  <c r="C4" i="9"/>
  <c r="C5" i="1"/>
  <c r="A6" i="9"/>
  <c r="A7" i="9"/>
  <c r="D6" i="10"/>
  <c r="D5" i="10"/>
  <c r="C5" i="10"/>
  <c r="A7" i="10"/>
  <c r="D5" i="9"/>
  <c r="C5" i="9"/>
  <c r="C7" i="10"/>
  <c r="A8" i="10"/>
  <c r="D8" i="10"/>
  <c r="D7" i="10"/>
  <c r="C6" i="1"/>
  <c r="A8" i="9"/>
  <c r="A9" i="9"/>
  <c r="D6" i="9"/>
  <c r="C6" i="9"/>
  <c r="C7" i="1"/>
  <c r="D8" i="9"/>
  <c r="C8" i="9"/>
  <c r="C8" i="1"/>
  <c r="C9" i="1"/>
  <c r="C10" i="1"/>
  <c r="C11" i="1"/>
  <c r="C12" i="1"/>
</calcChain>
</file>

<file path=xl/sharedStrings.xml><?xml version="1.0" encoding="utf-8"?>
<sst xmlns="http://schemas.openxmlformats.org/spreadsheetml/2006/main" count="1039" uniqueCount="438">
  <si>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</si>
  <si>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</si>
  <si>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</si>
  <si>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</si>
  <si>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</si>
  <si>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</si>
  <si>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</si>
  <si>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</si>
  <si>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</si>
  <si>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</si>
  <si>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</si>
  <si>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</si>
  <si>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</si>
  <si>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</si>
  <si>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</si>
  <si>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</si>
  <si>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</si>
  <si>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</si>
  <si>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</si>
  <si>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</si>
  <si>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</si>
  <si>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</si>
  <si>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</si>
  <si>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</si>
  <si>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</si>
  <si>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</si>
  <si>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</si>
  <si>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</si>
  <si>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</si>
  <si>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</si>
  <si>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</si>
  <si>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</si>
  <si>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</si>
  <si>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</si>
  <si>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</si>
  <si>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</si>
  <si>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</si>
  <si>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</si>
  <si>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</si>
  <si>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</si>
  <si>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</si>
  <si>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</si>
  <si>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</si>
  <si>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</si>
  <si>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</si>
  <si>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</si>
  <si>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</si>
  <si>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</si>
  <si>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</si>
  <si>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</si>
  <si>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</si>
  <si>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</si>
  <si>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</si>
  <si>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</si>
  <si>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</si>
  <si>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</si>
  <si>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</si>
  <si>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</si>
  <si>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</si>
  <si>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</si>
  <si>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</si>
  <si>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</si>
  <si>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</si>
  <si>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</si>
  <si>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</si>
  <si>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</si>
  <si>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</si>
  <si>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</si>
  <si>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</si>
  <si>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</si>
  <si>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</si>
  <si>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</si>
  <si>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</si>
  <si>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</si>
  <si>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</si>
  <si>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</si>
  <si>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</si>
  <si>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</si>
  <si>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</si>
  <si>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</si>
  <si>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</si>
  <si>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</si>
  <si>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</si>
  <si>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</si>
  <si>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</si>
  <si>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</si>
  <si>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</si>
  <si>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</si>
  <si>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</si>
  <si>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</si>
  <si>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</si>
  <si>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</si>
  <si>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</si>
  <si>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</si>
  <si>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</si>
  <si>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</si>
  <si>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</si>
  <si>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</si>
  <si>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</si>
  <si>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</si>
  <si>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</si>
  <si>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</si>
  <si>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</si>
  <si>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</si>
  <si>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</si>
  <si>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</si>
  <si>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</si>
  <si>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</si>
  <si>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</si>
  <si>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</si>
  <si>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</si>
  <si>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</si>
  <si>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</si>
  <si>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</si>
  <si>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</si>
  <si>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</si>
  <si>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</si>
  <si>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</si>
  <si>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</si>
  <si>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</si>
  <si>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</si>
  <si>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</si>
  <si>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</si>
  <si>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</si>
  <si>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</si>
  <si>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</si>
  <si>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</si>
  <si>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</si>
  <si>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</si>
  <si>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</si>
  <si>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</si>
  <si>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</si>
  <si>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</si>
  <si>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</si>
  <si>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</si>
  <si>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</si>
  <si>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</si>
  <si>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</si>
  <si>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</si>
  <si>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</si>
  <si>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</si>
  <si>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</si>
  <si>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</si>
  <si>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</si>
  <si>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</si>
  <si>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</si>
  <si>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</si>
  <si>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</si>
  <si>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</si>
  <si>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</si>
  <si>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</si>
  <si>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</si>
  <si>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</si>
  <si>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</si>
  <si>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</si>
  <si>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</si>
  <si>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</si>
  <si>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</si>
  <si>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</si>
  <si>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</si>
  <si>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</si>
  <si>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</si>
  <si>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</si>
  <si>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</si>
  <si>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</si>
  <si>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</si>
  <si>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</si>
  <si>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</si>
  <si>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</si>
  <si>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</si>
  <si>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</si>
  <si>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</si>
  <si>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</si>
  <si>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</si>
  <si>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</si>
  <si>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</si>
  <si>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</si>
  <si>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</si>
  <si>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</si>
  <si>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</si>
  <si>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</si>
  <si>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</si>
  <si>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</si>
  <si>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</si>
  <si>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</si>
  <si>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</si>
  <si>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</si>
  <si>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</si>
  <si>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</si>
  <si>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</si>
  <si>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</si>
  <si>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</si>
  <si>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</si>
  <si>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</si>
  <si>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</si>
  <si>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</si>
  <si>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</si>
  <si>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</si>
  <si>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</si>
  <si>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</si>
  <si>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</si>
  <si>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</si>
  <si>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</si>
  <si>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</si>
  <si>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</si>
  <si>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</si>
  <si>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</si>
  <si>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</si>
  <si>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</si>
  <si>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</si>
  <si>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</si>
  <si>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</si>
  <si>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</si>
  <si>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</si>
  <si>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</si>
  <si>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</si>
  <si>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</si>
  <si>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</si>
  <si>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</si>
  <si>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</si>
  <si>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</si>
  <si>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</si>
  <si>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</si>
  <si>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</si>
  <si>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</si>
  <si>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</si>
  <si>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</si>
  <si>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</si>
  <si>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</si>
  <si>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</si>
  <si>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</si>
  <si>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</si>
  <si>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</si>
  <si>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</si>
  <si>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</si>
  <si>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</si>
  <si>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</si>
  <si>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</si>
  <si>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</si>
  <si>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</si>
  <si>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</si>
  <si>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</si>
  <si>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</si>
  <si>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</si>
  <si>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</si>
  <si>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</si>
  <si>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</si>
  <si>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</si>
  <si>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</si>
  <si>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</si>
  <si>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</si>
  <si>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</si>
  <si>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</si>
  <si>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</si>
  <si>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</si>
  <si>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</si>
  <si>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</si>
  <si>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</si>
  <si>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</si>
  <si>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</si>
  <si>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</si>
  <si>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</si>
  <si>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</si>
  <si>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</si>
  <si>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</si>
  <si>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</si>
  <si>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</si>
  <si>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</si>
  <si>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</si>
  <si>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</si>
  <si>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</si>
  <si>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</si>
  <si>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</si>
  <si>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</si>
  <si>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</si>
  <si>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</si>
  <si>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</si>
  <si>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</si>
  <si>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</si>
  <si>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</si>
  <si>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</si>
  <si>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</si>
  <si>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</si>
  <si>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</si>
  <si>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</si>
  <si>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</si>
  <si>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</si>
  <si>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</si>
  <si>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</si>
  <si>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</si>
  <si>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</si>
  <si>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</si>
  <si>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</si>
  <si>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</si>
  <si>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</si>
  <si>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</si>
  <si>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</si>
  <si>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</si>
  <si>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</si>
  <si>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</si>
  <si>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</si>
  <si>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</si>
  <si>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</si>
  <si>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</si>
  <si>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</si>
  <si>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</si>
  <si>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</si>
  <si>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</si>
  <si>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</si>
  <si>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</si>
  <si>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</si>
  <si>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</si>
  <si>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</si>
  <si>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</si>
  <si>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</si>
  <si>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</si>
  <si>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</si>
  <si>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</si>
  <si>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</si>
  <si>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</si>
  <si>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</si>
  <si>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</si>
  <si>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</si>
  <si>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</si>
  <si>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</si>
  <si>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</si>
  <si>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</si>
  <si>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</si>
  <si>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</si>
  <si>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</si>
  <si>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</si>
  <si>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</si>
  <si>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</si>
  <si>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</si>
  <si>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</si>
  <si>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</si>
  <si>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</si>
  <si>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</si>
  <si>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</si>
  <si>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</si>
  <si>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</si>
  <si>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</si>
  <si>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</si>
  <si>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</si>
  <si>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</si>
  <si>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</si>
  <si>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</si>
  <si>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</si>
  <si>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</si>
  <si>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</si>
  <si>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</si>
  <si>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</si>
  <si>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</si>
  <si>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</si>
  <si>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</si>
  <si>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</si>
  <si>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</si>
  <si>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</si>
  <si>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</si>
  <si>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</si>
  <si>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</si>
  <si>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</si>
  <si>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</si>
  <si>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Convection and phase changes in environmental flows</t>
  </si>
  <si>
    <t>Many processes in the climate system can be related to the coupling of fluid convection and thermodynamic phase changes, from ice-ocean interactions in polar regions to the formation and evolution of clouds in the atmosphere. In this talk, I will discuss some recent work aimed at understanding the fundamental interactions between convection and phase changes in simple systems, with a focus on the effects of turbulence on ice melting. Firstly, motivated by the flows beside marine-terminating glaciers, I will describe work focused on understanding boundary layers in turbulent convection at vertical walls. I focus on the complexities introduced by a high Prandtl number (relevant to seawater) and the effect of an ambient flow, where a transition between buoyancy-driven and shear-driven boundary layers occurs. Secondly, I will outline a newly-developed immersed boundary technique for simulating melting objects in turbulent flows, which reveals the subtle effects that the free motion of melting ice objects can introduce.</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</si>
  <si>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</si>
  <si>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</si>
  <si>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</si>
  <si>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</si>
  <si>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</si>
  <si>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</si>
  <si>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Bayes-ically Fair:  Bayesian Ranking of Olympic Medal Performances</t>
  </si>
  <si>
    <t>Evaluating a country's sporting success can provide insight into its decision-making and the infrastructure used to develop athletic talent. The Olympic Games serve as a global benchmark, yet conventional medal tables can be overly influenced by population size or highly variable, particularly for smaller nations where outcomes are more affected by stochastic fluctuations.
We propose a Bayesian ranking scheme to rank the performance of National Olympic Committees by inferring an underlying `long-run' medals-to-population rate. The approach applies shrinkage to stabilise estimates for small-population countries while leaving large-population countries comparatively unchanged. The Bayesian framework yields posterior distributions over both the inferred medals-per-capita performance and the induced ranks, providing a principled measure of uncertainty in each country's ranking position.</t>
  </si>
  <si>
    <t>https://scholar.google.com/citations?user=kRgtZZcAAAAJ&amp;hl=en</t>
  </si>
  <si>
    <t xml:space="preserve">https://research.universityofgalway.ie/en/persons/carl-scarrott/ </t>
  </si>
  <si>
    <t>Andrew Keane</t>
  </si>
  <si>
    <t>Fragmented tipping of the Atlantic Meridional Ocean Circulation</t>
  </si>
  <si>
    <t>The tipping of the Atlantic Meridional Overturning Circulation (AMOC) to a ‘shutdown’ state due to changes in the freshwater forcing of the ocean is of particular interest and concern due to its widespread ramifications, including a dramatic climatic shift for much of Europe. A clear understanding of how such a shutdown would unfold requires analyses of models from across the complexity spectrum. For example, detailed simulations of sophisticated Earth System Models have identified scenarios of ‘fragmented’ tipping towards a complete shutdown of AMOC, in which deep-water formation first ceases in the Labrador Sea before ceasing in the Nordic Seas. Here, we study a simple ocean box model with two polar boxes designed to represent deep-water formation at these two distinct sites. A bifurcation analysis reveals how, depending on the differences of freshwater and thermal forcing between the two polar boxes, transitions to ‘partial shutdown’ states are possible. Our results shed light on the nature of the tipping of AMOC and clarify dynamical features observed in more sophisticated models.</t>
  </si>
  <si>
    <t>May</t>
  </si>
  <si>
    <t>Florian Faucher</t>
  </si>
  <si>
    <t>University of Pau and Pays de l’Adour</t>
  </si>
  <si>
    <t>Romina Gaburro</t>
  </si>
  <si>
    <t>Quantitative inverse wave problem for passive imaging using cross-correlation data.</t>
  </si>
  <si>
    <t>We investigate the quantitative reconstruction of physical properties in the context of passive imaging, where ambient wavefields are used to probe a medium. These ambient signals correspond to oscillations of the system generated by stochastic events. We discuss in particular  helioseismology, where satellites observe solar oscillations that are driven by turbulent convective motion. Considering the data as a superposition of waves generated by stochastic sources, the expected value of the cross-correlation between signals is related to the deterministic Green's function. The inverse wave problem is then formulated through an iterative minimization procedure, in which the gradient of the misfit functional is computed via the adjoint-state method. We focus on time-harmonic acoustic wave propagation and carry out synthetic experiments, comparing inversions based on cross-correlation data with those using direct wavefield measurements in the configuration of active-source acquisitions.</t>
  </si>
  <si>
    <t>https://scholar.google.com/citations?user=KKQ8FvkAAAAJ&amp;hl=en</t>
  </si>
  <si>
    <t>https://ffaucher.gitlab.io/cv/</t>
  </si>
  <si>
    <t>Wednesday</t>
  </si>
  <si>
    <t>Alan Demlow</t>
  </si>
  <si>
    <t>Texas A&amp;M</t>
  </si>
  <si>
    <t>TBC</t>
  </si>
  <si>
    <t>Open</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</si>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</sst>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13" Type="http://schemas.openxmlformats.org/officeDocument/2006/relationships/printerSettings" Target="../printerSettings/printerSettings1.bin"/><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4.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13" Type="http://schemas.openxmlformats.org/officeDocument/2006/relationships/hyperlink" Target="https://ffaucher.gitlab.io/cv/"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 Id="rId14" Type="http://schemas.openxmlformats.org/officeDocument/2006/relationships/hyperlink" Target="https://scholar.google.com/citations?user=KKQ8FvkAAAAJ&amp;hl=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bottomRight" activeCell="H1" sqref="H1"/>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8"/>
  <sheetViews>
    <sheetView tabSelected="1" workbookViewId="0">
      <selection activeCell="E22" sqref="E22"/>
    </sheetView>
  </sheetViews>
  <sheetFormatPr defaultRowHeight="1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c r="A6" s="75">
        <f>A5+14</f>
        <v>46093</v>
      </c>
      <c r="B6" s="2" t="s">
        <v>190</v>
      </c>
      <c r="C6" s="26" t="str">
        <f t="shared" si="0"/>
        <v>Mar</v>
      </c>
      <c r="D6" s="27" t="str">
        <f t="shared" si="1"/>
        <v>Thursday</v>
      </c>
      <c r="E6">
        <f t="shared" si="2"/>
        <v>7</v>
      </c>
      <c r="F6" s="16" t="s">
        <v>341</v>
      </c>
      <c r="G6" s="14" t="s">
        <v>152</v>
      </c>
      <c r="H6" s="5" t="s">
        <v>95</v>
      </c>
      <c r="I6" s="98" t="s">
        <v>342</v>
      </c>
      <c r="J6" s="98" t="s">
        <v>343</v>
      </c>
      <c r="K6" s="102"/>
      <c r="L6" s="24" t="s">
        <v>344</v>
      </c>
      <c r="M6" s="24" t="s">
        <v>345</v>
      </c>
      <c r="N6" s="16"/>
      <c r="O6" s="35"/>
      <c r="P6" s="5"/>
      <c r="Q6" s="5"/>
      <c r="R6" s="5"/>
      <c r="S6" s="16"/>
      <c r="T6" s="35"/>
      <c r="U6" s="5"/>
      <c r="V6" s="5"/>
      <c r="W6" s="5"/>
      <c r="X6" s="15"/>
      <c r="Y6" s="13"/>
    </row>
    <row r="7" spans="1:25" ht="15.75" customHeight="1">
      <c r="A7" s="75">
        <f>A6+7</f>
        <v>46100</v>
      </c>
      <c r="B7" s="2" t="s">
        <v>190</v>
      </c>
      <c r="C7" s="26" t="s">
        <v>198</v>
      </c>
      <c r="D7" s="27" t="s">
        <v>278</v>
      </c>
      <c r="E7">
        <v>8</v>
      </c>
      <c r="F7" s="16" t="s">
        <v>346</v>
      </c>
      <c r="G7" s="14" t="s">
        <v>77</v>
      </c>
      <c r="H7" s="5" t="s">
        <v>101</v>
      </c>
      <c r="I7" s="98" t="s">
        <v>347</v>
      </c>
      <c r="J7" s="98" t="s">
        <v>348</v>
      </c>
      <c r="K7" s="102" t="s">
        <v>349</v>
      </c>
      <c r="L7" s="24" t="s">
        <v>350</v>
      </c>
      <c r="M7" s="24" t="s">
        <v>351</v>
      </c>
      <c r="N7" s="16"/>
      <c r="O7" s="35"/>
      <c r="P7" s="5"/>
      <c r="Q7" s="5"/>
      <c r="R7" s="5"/>
      <c r="S7" s="16"/>
      <c r="T7" s="35"/>
      <c r="U7" s="5"/>
      <c r="V7" s="5"/>
      <c r="W7" s="5"/>
      <c r="X7" s="15"/>
      <c r="Y7" s="13"/>
    </row>
    <row r="8" spans="1:25" ht="17.25" customHeight="1">
      <c r="A8" s="75">
        <f>A6+14</f>
        <v>46107</v>
      </c>
      <c r="B8" s="2" t="s">
        <v>190</v>
      </c>
      <c r="C8" s="26" t="str">
        <f t="shared" si="0"/>
        <v>Mar</v>
      </c>
      <c r="D8" s="27" t="str">
        <f t="shared" si="1"/>
        <v>Thursday</v>
      </c>
      <c r="E8">
        <f>E6+2</f>
        <v>9</v>
      </c>
      <c r="F8" s="16" t="s">
        <v>352</v>
      </c>
      <c r="G8" s="14" t="s">
        <v>52</v>
      </c>
      <c r="H8" s="5" t="s">
        <v>87</v>
      </c>
      <c r="I8" s="98" t="s">
        <v>353</v>
      </c>
      <c r="J8" s="98" t="s">
        <v>354</v>
      </c>
      <c r="K8" s="102"/>
      <c r="L8" s="5"/>
      <c r="M8" s="5"/>
      <c r="N8" s="16"/>
      <c r="O8" s="35"/>
      <c r="P8" s="5" t="s">
        <v>355</v>
      </c>
      <c r="Q8" s="5"/>
      <c r="R8" s="5"/>
      <c r="S8" s="16"/>
      <c r="T8" s="35"/>
      <c r="U8" s="5"/>
      <c r="V8" s="5"/>
      <c r="W8" s="5"/>
      <c r="X8" s="15"/>
      <c r="Y8" s="13"/>
    </row>
    <row r="9" spans="1:25" ht="18" customHeight="1">
      <c r="A9" s="75">
        <f>A8+7</f>
        <v>46114</v>
      </c>
      <c r="B9" s="2" t="s">
        <v>190</v>
      </c>
      <c r="C9" s="26" t="s">
        <v>209</v>
      </c>
      <c r="D9" s="27" t="s">
        <v>278</v>
      </c>
      <c r="E9">
        <v>10</v>
      </c>
      <c r="F9" s="16" t="s">
        <v>356</v>
      </c>
      <c r="G9" s="14" t="s">
        <v>322</v>
      </c>
      <c r="H9" s="5" t="s">
        <v>101</v>
      </c>
      <c r="I9" s="98" t="s">
        <v>357</v>
      </c>
      <c r="J9" s="98" t="s">
        <v>358</v>
      </c>
      <c r="K9" s="102" t="s">
        <v>359</v>
      </c>
      <c r="L9" s="24" t="s">
        <v>360</v>
      </c>
      <c r="M9" s="24" t="s">
        <v>361</v>
      </c>
      <c r="N9" s="16"/>
      <c r="O9" s="35"/>
      <c r="P9" s="5"/>
      <c r="Q9" s="5"/>
      <c r="R9" s="5"/>
      <c r="S9" s="16"/>
      <c r="T9" s="35"/>
      <c r="U9" s="5"/>
      <c r="V9" s="5"/>
      <c r="W9" s="5"/>
      <c r="X9" s="15"/>
      <c r="Y9" s="13"/>
    </row>
    <row r="10" spans="1:25" ht="15" customHeight="1">
      <c r="A10" s="75">
        <v>46120</v>
      </c>
      <c r="B10" s="2" t="s">
        <v>190</v>
      </c>
      <c r="C10" s="26" t="str">
        <f t="shared" si="0"/>
        <v>Apr</v>
      </c>
      <c r="D10" s="27" t="str">
        <f t="shared" si="1"/>
        <v>Wednesday</v>
      </c>
      <c r="E10">
        <v>11</v>
      </c>
      <c r="F10" s="16" t="s">
        <v>362</v>
      </c>
      <c r="G10" s="14" t="s">
        <v>77</v>
      </c>
      <c r="H10" s="5" t="s">
        <v>87</v>
      </c>
      <c r="I10" s="98" t="s">
        <v>363</v>
      </c>
      <c r="J10" s="98" t="s">
        <v>364</v>
      </c>
      <c r="K10" s="102"/>
      <c r="L10" s="5"/>
      <c r="M10" s="5"/>
      <c r="N10" s="16"/>
      <c r="O10" s="35"/>
      <c r="P10" s="5"/>
      <c r="Q10" s="5"/>
      <c r="R10" s="5"/>
      <c r="S10" s="16"/>
      <c r="T10" s="35"/>
      <c r="U10" s="5"/>
      <c r="V10" s="5"/>
      <c r="W10" s="5"/>
      <c r="X10" s="15"/>
      <c r="Y10" s="13"/>
    </row>
    <row r="11" spans="1:25" ht="14.25" customHeight="1">
      <c r="A11" s="75">
        <v>46121</v>
      </c>
      <c r="B11" s="2" t="s">
        <v>331</v>
      </c>
      <c r="C11" s="26" t="s">
        <v>209</v>
      </c>
      <c r="D11" s="27" t="s">
        <v>278</v>
      </c>
      <c r="E11">
        <v>11</v>
      </c>
      <c r="F11" s="16" t="s">
        <v>365</v>
      </c>
      <c r="G11" s="14" t="s">
        <v>195</v>
      </c>
      <c r="H11" s="5" t="s">
        <v>87</v>
      </c>
      <c r="I11" s="98" t="s">
        <v>366</v>
      </c>
      <c r="J11" s="98" t="s">
        <v>367</v>
      </c>
      <c r="K11" s="102" t="s">
        <v>368</v>
      </c>
      <c r="L11" s="5"/>
      <c r="M11" s="24" t="s">
        <v>369</v>
      </c>
      <c r="N11" s="16"/>
      <c r="O11" s="35"/>
      <c r="P11" s="5"/>
      <c r="Q11" s="5"/>
      <c r="R11" s="5"/>
      <c r="S11" s="16"/>
      <c r="T11" s="35"/>
      <c r="U11" s="5"/>
      <c r="V11" s="5"/>
      <c r="W11" s="5"/>
      <c r="X11" s="15"/>
      <c r="Y11" s="13"/>
    </row>
    <row r="12" spans="1:25" ht="16.5" customHeight="1">
      <c r="A12" s="75">
        <v>46128</v>
      </c>
      <c r="B12" s="2" t="s">
        <v>190</v>
      </c>
      <c r="C12" s="26" t="str">
        <f t="shared" ref="C12" si="3">TEXT(A12, "mmm")</f>
        <v>Apr</v>
      </c>
      <c r="D12" s="27" t="str">
        <f t="shared" ref="D12" si="4">TEXT(A12, "dddd")</f>
        <v>Thursday</v>
      </c>
      <c r="E12">
        <v>12</v>
      </c>
      <c r="F12" s="16" t="s">
        <v>370</v>
      </c>
      <c r="G12" s="14" t="s">
        <v>195</v>
      </c>
      <c r="H12" s="5" t="s">
        <v>78</v>
      </c>
      <c r="I12" s="98" t="s">
        <v>371</v>
      </c>
      <c r="J12" s="98" t="s">
        <v>372</v>
      </c>
      <c r="K12" s="102" t="s">
        <v>373</v>
      </c>
      <c r="L12" s="5"/>
      <c r="M12" s="24" t="s">
        <v>374</v>
      </c>
      <c r="N12" s="16"/>
      <c r="O12" s="35"/>
      <c r="P12" s="5"/>
      <c r="Q12" s="5"/>
      <c r="R12" s="5"/>
      <c r="S12" s="16"/>
      <c r="T12" s="35"/>
      <c r="U12" s="5"/>
      <c r="V12" s="5"/>
      <c r="W12" s="5"/>
      <c r="X12" s="15"/>
      <c r="Y12" s="13"/>
    </row>
    <row r="13" spans="1:25" ht="18.75" customHeight="1">
      <c r="A13" s="75">
        <v>46135</v>
      </c>
      <c r="B13" s="2" t="s">
        <v>190</v>
      </c>
      <c r="C13" s="26" t="s">
        <v>209</v>
      </c>
      <c r="D13" s="27" t="s">
        <v>278</v>
      </c>
      <c r="E13">
        <v>13</v>
      </c>
      <c r="F13" s="16" t="s">
        <v>375</v>
      </c>
      <c r="G13" s="14" t="s">
        <v>73</v>
      </c>
      <c r="H13" s="5" t="s">
        <v>95</v>
      </c>
      <c r="I13" s="98" t="s">
        <v>376</v>
      </c>
      <c r="J13" s="98" t="s">
        <v>377</v>
      </c>
      <c r="K13" s="102"/>
      <c r="L13" s="5"/>
      <c r="M13" s="5"/>
      <c r="N13" s="16"/>
      <c r="O13" s="35"/>
      <c r="P13" s="5"/>
      <c r="Q13" s="5"/>
      <c r="R13" s="5"/>
      <c r="S13" s="16"/>
      <c r="T13" s="35"/>
      <c r="U13" s="5"/>
      <c r="V13" s="5"/>
      <c r="W13" s="5"/>
      <c r="X13" s="15"/>
      <c r="Y13" s="13"/>
    </row>
    <row r="14" spans="1:25" ht="18.75" customHeight="1">
      <c r="A14" s="75">
        <v>46142</v>
      </c>
      <c r="B14" s="26" t="s">
        <v>259</v>
      </c>
      <c r="C14" s="26" t="s">
        <v>378</v>
      </c>
      <c r="D14" s="27" t="s">
        <v>278</v>
      </c>
      <c r="E14">
        <v>14</v>
      </c>
      <c r="F14" s="14" t="s">
        <v>379</v>
      </c>
      <c r="G14" s="14" t="s">
        <v>380</v>
      </c>
      <c r="H14" s="14" t="s">
        <v>381</v>
      </c>
      <c r="I14" s="14" t="s">
        <v>382</v>
      </c>
      <c r="J14" s="107" t="s">
        <v>383</v>
      </c>
      <c r="K14" s="102" t="s">
        <v>384</v>
      </c>
      <c r="L14" s="14"/>
      <c r="M14" s="102" t="s">
        <v>385</v>
      </c>
      <c r="N14" s="14"/>
      <c r="O14" s="35"/>
      <c r="P14" s="14"/>
      <c r="Q14" s="14"/>
      <c r="R14" s="14"/>
      <c r="S14" s="14"/>
      <c r="T14" s="35"/>
      <c r="U14" s="14"/>
      <c r="V14" s="14"/>
      <c r="W14" s="14"/>
      <c r="X14" s="15"/>
      <c r="Y14" s="13"/>
    </row>
    <row r="15" spans="1:25" ht="15.75" thickBot="1">
      <c r="A15" s="26">
        <v>46155</v>
      </c>
      <c r="B15" s="26" t="s">
        <v>190</v>
      </c>
      <c r="C15" s="26" t="s">
        <v>378</v>
      </c>
      <c r="D15" t="s">
        <v>386</v>
      </c>
      <c r="E15">
        <v>16</v>
      </c>
      <c r="F15" t="s">
        <v>387</v>
      </c>
      <c r="G15" t="s">
        <v>388</v>
      </c>
      <c r="H15" t="s">
        <v>40</v>
      </c>
      <c r="I15" t="s">
        <v>389</v>
      </c>
      <c r="J15" t="s">
        <v>389</v>
      </c>
      <c r="X15" s="20"/>
      <c r="Y15" s="18"/>
    </row>
    <row r="16" spans="1:25" ht="12.75" customHeight="1">
      <c r="A16" s="26"/>
      <c r="B16" s="26"/>
      <c r="C16" s="26"/>
    </row>
    <row r="17" spans="1:3">
      <c r="A17" s="26"/>
      <c r="B17" s="26"/>
      <c r="C17" s="26"/>
    </row>
    <row r="18" spans="1:3">
      <c r="A18" s="26"/>
      <c r="B18" s="26"/>
      <c r="C18" s="26"/>
    </row>
  </sheetData>
  <protectedRanges>
    <protectedRange algorithmName="SHA-512" hashValue="pQyTzP/d7t5ThMimBt5mu8gGozgAm1OwF6BMILsn5/kmtZ5mZf81NMi09wwU8mvtItxf0EVNWa6V4MCa0DKeSQ==" saltValue="NzZBiAQ1yFjat+SeIqh2Uw==" spinCount="100000" sqref="A3:E18"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4" name="Range6_1"/>
    <protectedRange algorithmName="SHA-512" hashValue="BKDH3ki5lE3XQdc5qZnIH6o8wW8E0PkHgMZFCkv/XYDEa+b/qenui0oReDIqPDXHceUVJ+rEgU3I9CDBHraDYg==" saltValue="ruXqG4NOhhm7cSLor8wHfw==" spinCount="100000" sqref="O2:O14" name="Range7_1"/>
    <protectedRange sqref="X15:Y15 F3:Y14"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 ref="M14" r:id="rId13" xr:uid="{8D133BC0-60B4-4F75-84B7-5C8F4452AAD4}"/>
    <hyperlink ref="K14" r:id="rId14" xr:uid="{F5CA8E46-DA4D-40A2-B71F-BC8C3D5249DB}"/>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30.7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v>
      </c>
      <c r="D3" s="55" t="str">
        <f>TEXT(A3, "dddd")</f>
        <v>Thursday</v>
      </c>
      <c r="E3">
        <v>1</v>
      </c>
      <c r="F3" s="16" t="s">
        <v>390</v>
      </c>
      <c r="G3" s="14" t="s">
        <v>389</v>
      </c>
      <c r="H3" s="14" t="s">
        <v>389</v>
      </c>
      <c r="I3" s="98" t="s">
        <v>389</v>
      </c>
      <c r="J3" s="98" t="s">
        <v>389</v>
      </c>
      <c r="K3" s="73"/>
      <c r="L3" s="40"/>
      <c r="M3" s="40"/>
      <c r="N3" s="38"/>
      <c r="O3" s="35"/>
      <c r="P3" s="40"/>
      <c r="Q3" s="40"/>
      <c r="R3" s="40"/>
      <c r="S3" s="38"/>
      <c r="T3" s="35"/>
      <c r="U3" s="40"/>
      <c r="V3" s="40"/>
      <c r="W3" s="40"/>
      <c r="X3" s="46"/>
      <c r="Y3" s="44"/>
    </row>
    <row r="4" spans="1:25" ht="15.75" customHeight="1">
      <c r="A4" s="75">
        <f>A3+14</f>
        <v>46289</v>
      </c>
      <c r="B4" s="2" t="s">
        <v>190</v>
      </c>
      <c r="C4" s="26" t="str">
        <f t="shared" ref="C4:C7" si="0">TEXT(A4, "mmm")</f>
        <v>Sep</v>
      </c>
      <c r="D4" s="27" t="str">
        <f t="shared" ref="D4:D8" si="1">TEXT(A4, "dddd")</f>
        <v>Thursday</v>
      </c>
      <c r="E4">
        <f>E3+2</f>
        <v>3</v>
      </c>
      <c r="F4" s="16" t="s">
        <v>390</v>
      </c>
      <c r="G4" s="14" t="s">
        <v>389</v>
      </c>
      <c r="H4" s="5" t="s">
        <v>389</v>
      </c>
      <c r="I4" s="98" t="s">
        <v>389</v>
      </c>
      <c r="J4" s="98" t="s">
        <v>389</v>
      </c>
      <c r="K4" s="102"/>
      <c r="L4" s="5"/>
      <c r="M4" s="5"/>
      <c r="N4" s="16"/>
      <c r="O4" s="35"/>
      <c r="P4" s="5"/>
      <c r="Q4" s="5"/>
      <c r="R4" s="5"/>
      <c r="S4" s="16"/>
      <c r="T4" s="35"/>
      <c r="U4" s="5"/>
      <c r="V4" s="5"/>
      <c r="W4" s="5"/>
      <c r="X4" s="15"/>
      <c r="Y4" s="13"/>
    </row>
    <row r="5" spans="1:25">
      <c r="A5" s="75">
        <f t="shared" ref="A5" si="2">A4+14</f>
        <v>46303</v>
      </c>
      <c r="B5" s="2" t="s">
        <v>190</v>
      </c>
      <c r="C5" s="26" t="str">
        <f t="shared" si="0"/>
        <v>Oct</v>
      </c>
      <c r="D5" s="27" t="str">
        <f t="shared" si="1"/>
        <v>Thursday</v>
      </c>
      <c r="E5">
        <f t="shared" ref="E5:E6" si="3">E4+2</f>
        <v>5</v>
      </c>
      <c r="F5" s="16" t="s">
        <v>390</v>
      </c>
      <c r="G5" s="14" t="s">
        <v>389</v>
      </c>
      <c r="H5" s="14" t="s">
        <v>389</v>
      </c>
      <c r="I5" s="98" t="s">
        <v>389</v>
      </c>
      <c r="J5" s="98" t="s">
        <v>389</v>
      </c>
      <c r="K5" s="102"/>
      <c r="L5" s="5"/>
      <c r="M5" s="5"/>
      <c r="N5" s="16"/>
      <c r="O5" s="35" t="s">
        <v>339</v>
      </c>
      <c r="P5" s="5" t="s">
        <v>340</v>
      </c>
      <c r="Q5" s="5"/>
      <c r="R5" s="5"/>
      <c r="S5" s="16"/>
      <c r="T5" s="35"/>
      <c r="U5" s="5"/>
      <c r="V5" s="5"/>
      <c r="W5" s="5"/>
      <c r="X5" s="15"/>
      <c r="Y5" s="13"/>
    </row>
    <row r="6" spans="1:25" ht="15.75" customHeight="1">
      <c r="A6" s="75">
        <f>A5+14</f>
        <v>46317</v>
      </c>
      <c r="B6" s="2" t="s">
        <v>190</v>
      </c>
      <c r="C6" s="26" t="str">
        <f t="shared" si="0"/>
        <v>Oct</v>
      </c>
      <c r="D6" s="27" t="str">
        <f t="shared" si="1"/>
        <v>Thursday</v>
      </c>
      <c r="E6">
        <f t="shared" si="3"/>
        <v>7</v>
      </c>
      <c r="F6" s="16" t="s">
        <v>390</v>
      </c>
      <c r="G6" s="14" t="s">
        <v>389</v>
      </c>
      <c r="H6" s="14" t="s">
        <v>389</v>
      </c>
      <c r="I6" s="98" t="s">
        <v>389</v>
      </c>
      <c r="J6" s="98" t="s">
        <v>389</v>
      </c>
      <c r="K6" s="102"/>
      <c r="L6" s="5"/>
      <c r="M6" s="5"/>
      <c r="N6" s="16"/>
      <c r="O6" s="35"/>
      <c r="P6" s="5"/>
      <c r="Q6" s="5"/>
      <c r="R6" s="5"/>
      <c r="S6" s="16"/>
      <c r="T6" s="35"/>
      <c r="U6" s="5"/>
      <c r="V6" s="5"/>
      <c r="W6" s="5"/>
      <c r="X6" s="15"/>
      <c r="Y6" s="13"/>
    </row>
    <row r="7" spans="1:25">
      <c r="A7" s="75">
        <f>A6+14</f>
        <v>46331</v>
      </c>
      <c r="B7" s="2" t="s">
        <v>190</v>
      </c>
      <c r="C7" s="26" t="str">
        <f t="shared" si="0"/>
        <v>Nov</v>
      </c>
      <c r="D7" s="27" t="str">
        <f t="shared" si="1"/>
        <v>Thursday</v>
      </c>
      <c r="E7">
        <f>E6+2</f>
        <v>9</v>
      </c>
      <c r="F7" s="16" t="s">
        <v>390</v>
      </c>
      <c r="G7" s="14" t="s">
        <v>389</v>
      </c>
      <c r="H7" s="14" t="s">
        <v>389</v>
      </c>
      <c r="I7" s="98" t="s">
        <v>389</v>
      </c>
      <c r="J7" s="98" t="s">
        <v>389</v>
      </c>
      <c r="K7" s="102"/>
      <c r="L7" s="5"/>
      <c r="M7" s="5"/>
      <c r="N7" s="16"/>
      <c r="O7" s="35"/>
      <c r="P7" s="5"/>
      <c r="Q7" s="5"/>
      <c r="R7" s="5"/>
      <c r="S7" s="16"/>
      <c r="T7" s="35"/>
      <c r="U7" s="5"/>
      <c r="V7" s="5"/>
      <c r="W7" s="5"/>
      <c r="X7" s="15"/>
      <c r="Y7" s="13"/>
    </row>
    <row r="8" spans="1:25">
      <c r="A8" s="75">
        <f>A7+14</f>
        <v>46345</v>
      </c>
      <c r="B8" s="2" t="s">
        <v>190</v>
      </c>
      <c r="C8" s="26" t="s">
        <v>209</v>
      </c>
      <c r="D8" s="27" t="str">
        <f t="shared" si="1"/>
        <v>Thursday</v>
      </c>
      <c r="E8">
        <v>11</v>
      </c>
      <c r="F8" s="16" t="s">
        <v>390</v>
      </c>
      <c r="G8" s="14" t="s">
        <v>389</v>
      </c>
      <c r="H8" s="14" t="s">
        <v>389</v>
      </c>
      <c r="I8" s="98" t="s">
        <v>389</v>
      </c>
      <c r="J8" s="98" t="s">
        <v>389</v>
      </c>
      <c r="K8" s="102"/>
      <c r="L8" s="5"/>
      <c r="M8" s="5"/>
      <c r="N8" s="16"/>
      <c r="O8" s="35"/>
      <c r="P8" s="5"/>
      <c r="Q8" s="5"/>
      <c r="R8" s="5"/>
      <c r="S8" s="16"/>
      <c r="T8" s="35"/>
      <c r="U8" s="5"/>
      <c r="V8" s="5"/>
      <c r="W8" s="5"/>
      <c r="X8" s="15"/>
      <c r="Y8" s="13"/>
    </row>
    <row r="9" spans="1:25" ht="18.75" customHeight="1">
      <c r="A9" s="75">
        <v>46121</v>
      </c>
      <c r="B9" s="2" t="s">
        <v>190</v>
      </c>
      <c r="C9" s="26" t="s">
        <v>378</v>
      </c>
      <c r="D9" s="27" t="s">
        <v>278</v>
      </c>
      <c r="E9">
        <v>13</v>
      </c>
      <c r="F9" s="16" t="s">
        <v>390</v>
      </c>
      <c r="G9" s="14" t="s">
        <v>389</v>
      </c>
      <c r="H9" s="14" t="s">
        <v>389</v>
      </c>
      <c r="I9" s="98" t="s">
        <v>389</v>
      </c>
      <c r="J9" s="98" t="s">
        <v>389</v>
      </c>
      <c r="K9" s="102"/>
      <c r="L9" s="5"/>
      <c r="M9" s="5"/>
      <c r="N9" s="16"/>
      <c r="O9" s="35"/>
      <c r="P9" s="5"/>
      <c r="Q9" s="5"/>
      <c r="R9" s="5"/>
      <c r="S9" s="16"/>
      <c r="T9" s="35"/>
      <c r="U9" s="5"/>
      <c r="V9" s="5"/>
      <c r="W9" s="5"/>
      <c r="X9" s="15"/>
      <c r="Y9" s="13"/>
    </row>
    <row r="10" spans="1:25" ht="15.75" thickBot="1">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cols>
    <col min="1" max="1" width="31.28515625" customWidth="1"/>
    <col min="2" max="2" width="26" customWidth="1"/>
    <col min="3" max="3" width="20.140625" customWidth="1"/>
  </cols>
  <sheetData>
    <row r="1" spans="1:3">
      <c r="A1" t="s">
        <v>391</v>
      </c>
    </row>
    <row r="2" spans="1:3">
      <c r="A2" s="55" t="s">
        <v>392</v>
      </c>
      <c r="B2" s="54" t="s">
        <v>393</v>
      </c>
      <c r="C2" s="54" t="s">
        <v>394</v>
      </c>
    </row>
    <row r="3" spans="1:3">
      <c r="A3" s="136" t="s">
        <v>395</v>
      </c>
      <c r="B3" s="137"/>
      <c r="C3" s="138" t="s">
        <v>224</v>
      </c>
    </row>
    <row r="4" spans="1:3">
      <c r="A4" s="5" t="s">
        <v>396</v>
      </c>
      <c r="B4" s="52"/>
      <c r="C4" s="50" t="s">
        <v>31</v>
      </c>
    </row>
    <row r="5" spans="1:3">
      <c r="A5" s="52" t="s">
        <v>397</v>
      </c>
      <c r="B5" s="52"/>
      <c r="C5" s="50" t="s">
        <v>398</v>
      </c>
    </row>
    <row r="6" spans="1:3">
      <c r="A6" s="52" t="s">
        <v>399</v>
      </c>
      <c r="B6" s="52" t="s">
        <v>400</v>
      </c>
      <c r="C6" s="50" t="s">
        <v>87</v>
      </c>
    </row>
    <row r="7" spans="1:3">
      <c r="A7" s="52" t="s">
        <v>401</v>
      </c>
      <c r="B7" s="52" t="s">
        <v>402</v>
      </c>
      <c r="C7" s="50" t="s">
        <v>87</v>
      </c>
    </row>
    <row r="8" spans="1:3">
      <c r="A8" s="52" t="s">
        <v>403</v>
      </c>
      <c r="B8" s="52" t="s">
        <v>404</v>
      </c>
      <c r="C8" s="50" t="s">
        <v>101</v>
      </c>
    </row>
    <row r="9" spans="1:3">
      <c r="A9" s="52" t="s">
        <v>405</v>
      </c>
      <c r="B9" s="52"/>
      <c r="C9" s="50"/>
    </row>
    <row r="10" spans="1:3">
      <c r="A10" s="52" t="s">
        <v>406</v>
      </c>
      <c r="B10" s="52" t="s">
        <v>407</v>
      </c>
      <c r="C10" s="50" t="s">
        <v>408</v>
      </c>
    </row>
    <row r="11" spans="1:3">
      <c r="A11" s="52" t="s">
        <v>409</v>
      </c>
      <c r="B11" s="52" t="s">
        <v>410</v>
      </c>
      <c r="C11" s="50" t="s">
        <v>411</v>
      </c>
    </row>
    <row r="12" spans="1:3">
      <c r="A12" s="52" t="s">
        <v>412</v>
      </c>
      <c r="B12" s="52" t="s">
        <v>413</v>
      </c>
      <c r="C12" s="50" t="s">
        <v>411</v>
      </c>
    </row>
    <row r="13" spans="1:3">
      <c r="A13" s="52" t="s">
        <v>414</v>
      </c>
      <c r="B13" s="52" t="s">
        <v>415</v>
      </c>
      <c r="C13" s="50" t="s">
        <v>411</v>
      </c>
    </row>
    <row r="14" spans="1:3">
      <c r="A14" s="52" t="s">
        <v>416</v>
      </c>
      <c r="B14" s="52" t="s">
        <v>417</v>
      </c>
      <c r="C14" s="50" t="s">
        <v>411</v>
      </c>
    </row>
    <row r="15" spans="1:3">
      <c r="A15" s="52" t="s">
        <v>418</v>
      </c>
      <c r="B15" s="52" t="s">
        <v>419</v>
      </c>
      <c r="C15" s="50" t="s">
        <v>411</v>
      </c>
    </row>
    <row r="16" spans="1:3">
      <c r="A16" s="137" t="s">
        <v>321</v>
      </c>
      <c r="B16" s="137" t="s">
        <v>420</v>
      </c>
      <c r="C16" s="139" t="s">
        <v>421</v>
      </c>
    </row>
    <row r="17" spans="1:3">
      <c r="A17" s="137" t="s">
        <v>346</v>
      </c>
      <c r="B17" s="137" t="s">
        <v>422</v>
      </c>
      <c r="C17" s="139" t="s">
        <v>421</v>
      </c>
    </row>
    <row r="18" spans="1:3">
      <c r="A18" s="52" t="s">
        <v>423</v>
      </c>
      <c r="B18" s="52" t="s">
        <v>400</v>
      </c>
      <c r="C18" s="50" t="s">
        <v>87</v>
      </c>
    </row>
    <row r="19" spans="1:3">
      <c r="A19" s="53" t="s">
        <v>424</v>
      </c>
      <c r="B19" s="53" t="s">
        <v>230</v>
      </c>
      <c r="C19" s="51" t="s">
        <v>425</v>
      </c>
    </row>
    <row r="20" spans="1:3">
      <c r="A20" t="s">
        <v>426</v>
      </c>
      <c r="B20" t="s">
        <v>427</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cols>
    <col min="1" max="1" width="17.85546875" customWidth="1"/>
    <col min="6" max="6" width="14.5703125" customWidth="1"/>
  </cols>
  <sheetData>
    <row r="1" spans="1:9" ht="15.75" thickBot="1">
      <c r="A1" s="135" t="s">
        <v>3</v>
      </c>
      <c r="B1" s="131" t="s">
        <v>428</v>
      </c>
      <c r="C1" s="130" t="s">
        <v>429</v>
      </c>
    </row>
    <row r="2" spans="1:9">
      <c r="A2" s="169">
        <v>46051</v>
      </c>
      <c r="B2" s="170">
        <v>1</v>
      </c>
      <c r="C2" s="170" t="s">
        <v>430</v>
      </c>
      <c r="F2" s="75"/>
      <c r="G2" s="77"/>
      <c r="H2" s="29"/>
      <c r="I2" s="55"/>
    </row>
    <row r="3" spans="1:9">
      <c r="A3" s="171">
        <f>A2+7</f>
        <v>46058</v>
      </c>
      <c r="B3" s="170">
        <f>B2+1</f>
        <v>2</v>
      </c>
      <c r="C3" s="170" t="s">
        <v>390</v>
      </c>
      <c r="F3" s="75"/>
      <c r="G3" s="2"/>
      <c r="H3" s="26"/>
      <c r="I3" s="27"/>
    </row>
    <row r="4" spans="1:9">
      <c r="A4" s="171">
        <f t="shared" ref="A4:A12" si="0">A3+7</f>
        <v>46065</v>
      </c>
      <c r="B4" s="170">
        <f t="shared" ref="B4:B11" si="1">B3+1</f>
        <v>3</v>
      </c>
      <c r="C4" s="170" t="s">
        <v>430</v>
      </c>
      <c r="F4" s="75"/>
      <c r="G4" s="2"/>
      <c r="H4" s="26"/>
      <c r="I4" s="27"/>
    </row>
    <row r="5" spans="1:9">
      <c r="A5" s="171">
        <f t="shared" si="0"/>
        <v>46072</v>
      </c>
      <c r="B5" s="170">
        <f t="shared" si="1"/>
        <v>4</v>
      </c>
      <c r="C5" s="170" t="s">
        <v>390</v>
      </c>
      <c r="F5" s="75"/>
      <c r="G5" s="2"/>
      <c r="H5" s="26"/>
      <c r="I5" s="27"/>
    </row>
    <row r="6" spans="1:9">
      <c r="A6" s="133">
        <f t="shared" si="0"/>
        <v>46079</v>
      </c>
      <c r="B6" s="134">
        <f t="shared" si="1"/>
        <v>5</v>
      </c>
      <c r="C6" s="134" t="s">
        <v>430</v>
      </c>
      <c r="F6" s="75"/>
      <c r="G6" s="2"/>
      <c r="H6" s="26"/>
      <c r="I6" s="27"/>
    </row>
    <row r="7" spans="1:9">
      <c r="A7" s="133">
        <f t="shared" si="0"/>
        <v>46086</v>
      </c>
      <c r="B7" s="134">
        <f t="shared" si="1"/>
        <v>6</v>
      </c>
      <c r="C7" s="134" t="s">
        <v>390</v>
      </c>
      <c r="F7" s="75"/>
      <c r="G7" s="2"/>
      <c r="H7" s="26"/>
      <c r="I7" s="27"/>
    </row>
    <row r="8" spans="1:9">
      <c r="A8" s="133">
        <f t="shared" si="0"/>
        <v>46093</v>
      </c>
      <c r="B8" s="134">
        <f t="shared" si="1"/>
        <v>7</v>
      </c>
      <c r="C8" s="134" t="s">
        <v>431</v>
      </c>
      <c r="F8" s="75"/>
      <c r="G8" s="2"/>
      <c r="H8" s="26"/>
      <c r="I8" s="27"/>
    </row>
    <row r="9" spans="1:9">
      <c r="A9" s="133">
        <f t="shared" si="0"/>
        <v>46100</v>
      </c>
      <c r="B9" s="134">
        <f t="shared" si="1"/>
        <v>8</v>
      </c>
      <c r="C9" s="134" t="s">
        <v>430</v>
      </c>
      <c r="F9" s="75"/>
      <c r="G9" s="2"/>
      <c r="H9" s="26"/>
      <c r="I9" s="27"/>
    </row>
    <row r="10" spans="1:9">
      <c r="A10" s="133">
        <f t="shared" si="0"/>
        <v>46107</v>
      </c>
      <c r="B10" s="134">
        <f t="shared" si="1"/>
        <v>9</v>
      </c>
      <c r="C10" s="134" t="s">
        <v>431</v>
      </c>
      <c r="F10" s="75"/>
      <c r="G10" s="2"/>
      <c r="H10" s="26"/>
      <c r="I10" s="27"/>
    </row>
    <row r="11" spans="1:9">
      <c r="A11" s="133">
        <f t="shared" si="0"/>
        <v>46114</v>
      </c>
      <c r="B11" s="134">
        <f t="shared" si="1"/>
        <v>10</v>
      </c>
      <c r="C11" s="134" t="s">
        <v>430</v>
      </c>
    </row>
    <row r="12" spans="1:9">
      <c r="A12" s="133">
        <f t="shared" si="0"/>
        <v>46121</v>
      </c>
      <c r="B12" s="134">
        <f t="shared" ref="B12:B14" si="2">B11+1</f>
        <v>11</v>
      </c>
      <c r="C12" s="134" t="s">
        <v>430</v>
      </c>
    </row>
    <row r="13" spans="1:9">
      <c r="A13" s="133">
        <f t="shared" ref="A13:A14" si="3">A12+7</f>
        <v>46128</v>
      </c>
      <c r="B13" s="134">
        <f t="shared" si="2"/>
        <v>12</v>
      </c>
      <c r="C13" s="134" t="s">
        <v>430</v>
      </c>
    </row>
    <row r="14" spans="1:9">
      <c r="A14" s="133">
        <f t="shared" si="3"/>
        <v>46135</v>
      </c>
      <c r="B14" s="134">
        <f t="shared" si="2"/>
        <v>13</v>
      </c>
      <c r="C14" s="134" t="s">
        <v>430</v>
      </c>
    </row>
    <row r="15" spans="1:9">
      <c r="A15" s="133"/>
      <c r="B15" s="134"/>
      <c r="C15" s="134"/>
    </row>
    <row r="16" spans="1:9">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432</v>
      </c>
    </row>
    <row r="3" spans="1:9" ht="18.75">
      <c r="A3" s="79" t="s">
        <v>433</v>
      </c>
    </row>
    <row r="5" spans="1:9" ht="37.5">
      <c r="A5" s="80" t="s">
        <v>3</v>
      </c>
      <c r="B5" s="80" t="s">
        <v>4</v>
      </c>
      <c r="C5" s="80" t="s">
        <v>5</v>
      </c>
      <c r="D5" s="80" t="s">
        <v>137</v>
      </c>
      <c r="E5" s="80" t="s">
        <v>189</v>
      </c>
      <c r="F5" s="80" t="s">
        <v>8</v>
      </c>
      <c r="G5" s="80" t="s">
        <v>9</v>
      </c>
      <c r="H5" s="82" t="s">
        <v>434</v>
      </c>
      <c r="I5" s="81" t="s">
        <v>11</v>
      </c>
    </row>
    <row r="6" spans="1:9" ht="18.75">
      <c r="A6" s="92">
        <v>45694</v>
      </c>
      <c r="B6" s="92" t="s">
        <v>190</v>
      </c>
      <c r="C6" s="92" t="s">
        <v>191</v>
      </c>
      <c r="D6" s="93" t="s">
        <v>278</v>
      </c>
      <c r="E6" s="93">
        <v>2</v>
      </c>
      <c r="F6" s="85" t="s">
        <v>40</v>
      </c>
      <c r="G6" s="85" t="s">
        <v>68</v>
      </c>
      <c r="H6" s="85"/>
      <c r="I6" s="84" t="s">
        <v>389</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386</v>
      </c>
      <c r="E9" s="94">
        <v>8</v>
      </c>
      <c r="F9" s="87" t="s">
        <v>204</v>
      </c>
      <c r="G9" s="87" t="s">
        <v>205</v>
      </c>
      <c r="H9" s="87" t="s">
        <v>206</v>
      </c>
      <c r="I9" s="86" t="s">
        <v>389</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435</v>
      </c>
      <c r="G11" s="87" t="s">
        <v>68</v>
      </c>
      <c r="H11" s="87"/>
      <c r="I11" s="86" t="s">
        <v>389</v>
      </c>
    </row>
    <row r="12" spans="1:9" ht="18.75">
      <c r="A12" s="83">
        <v>45758</v>
      </c>
      <c r="B12" s="83" t="s">
        <v>28</v>
      </c>
      <c r="C12" s="83" t="s">
        <v>209</v>
      </c>
      <c r="D12" s="94" t="s">
        <v>214</v>
      </c>
      <c r="E12" s="94">
        <v>11</v>
      </c>
      <c r="F12" s="87" t="s">
        <v>229</v>
      </c>
      <c r="G12" s="87" t="s">
        <v>172</v>
      </c>
      <c r="H12" s="87" t="s">
        <v>31</v>
      </c>
      <c r="I12" s="86" t="s">
        <v>389</v>
      </c>
    </row>
    <row r="13" spans="1:9" ht="18.75">
      <c r="A13" s="83">
        <v>45764</v>
      </c>
      <c r="B13" s="83" t="s">
        <v>190</v>
      </c>
      <c r="C13" s="83" t="s">
        <v>209</v>
      </c>
      <c r="D13" s="94" t="s">
        <v>278</v>
      </c>
      <c r="E13" s="94">
        <v>12</v>
      </c>
      <c r="F13" s="87" t="s">
        <v>436</v>
      </c>
      <c r="G13" s="87"/>
      <c r="H13" s="87"/>
      <c r="I13" s="86"/>
    </row>
    <row r="14" spans="1:9" ht="18.75">
      <c r="A14" s="88">
        <v>45771</v>
      </c>
      <c r="B14" s="88" t="s">
        <v>190</v>
      </c>
      <c r="C14" s="88" t="s">
        <v>209</v>
      </c>
      <c r="D14" s="95" t="s">
        <v>278</v>
      </c>
      <c r="E14" s="95">
        <v>13</v>
      </c>
      <c r="F14" s="90" t="s">
        <v>437</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Mehakpreet.Singh</cp:lastModifiedBy>
  <cp:revision/>
  <dcterms:created xsi:type="dcterms:W3CDTF">2023-10-17T13:23:06Z</dcterms:created>
  <dcterms:modified xsi:type="dcterms:W3CDTF">2026-04-24T10:13:20Z</dcterms:modified>
  <cp:category/>
  <cp:contentStatus/>
</cp:coreProperties>
</file>