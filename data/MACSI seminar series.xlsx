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58" documentId="13_ncr:1_{12BE53B5-C8C7-44FE-8280-19C653D9122E}" xr6:coauthVersionLast="47" xr6:coauthVersionMax="47" xr10:uidLastSave="{9B4BB872-9EFA-4F7A-A37A-1B4A774269D3}"/>
  <bookViews>
    <workbookView xWindow="-12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<sst xmlns="http://schemas.openxmlformats.org/spreadsheetml/2006/main" count="1049" uniqueCount="448">
  <si>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</si>
  <si>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</si>
  <si>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</si>
  <si>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</si>
  <si>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</si>
  <si>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</si>
  <si>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</si>
  <si>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</si>
  <si>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</si>
  <si>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</si>
  <si>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</si>
  <si>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</si>
  <si>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</si>
  <si>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</si>
  <si>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</si>
  <si>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</si>
  <si>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</si>
  <si>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</si>
  <si>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</si>
  <si>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</si>
  <si>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</si>
  <si>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</si>
  <si>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</si>
  <si>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</si>
  <si>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</si>
  <si>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</si>
  <si>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</si>
  <si>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</si>
  <si>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</si>
  <si>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</si>
  <si>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</si>
  <si>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</si>
  <si>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</si>
  <si>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</si>
  <si>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</si>
  <si>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</si>
  <si>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</si>
  <si>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</si>
  <si>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</si>
  <si>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</si>
  <si>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</si>
  <si>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</si>
  <si>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</si>
  <si>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</si>
  <si>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</si>
  <si>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</si>
  <si>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</si>
  <si>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</si>
  <si>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</si>
  <si>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</si>
  <si>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</si>
  <si>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</si>
  <si>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</si>
  <si>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</si>
  <si>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</si>
  <si>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</si>
  <si>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</si>
  <si>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</si>
  <si>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</si>
  <si>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</si>
  <si>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</si>
  <si>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</si>
  <si>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</si>
  <si>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</si>
  <si>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</si>
  <si>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</si>
  <si>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</si>
  <si>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</si>
  <si>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</si>
  <si>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</si>
  <si>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</si>
  <si>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</si>
  <si>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</si>
  <si>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</si>
  <si>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</si>
  <si>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</si>
  <si>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</si>
  <si>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</si>
  <si>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</si>
  <si>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</si>
  <si>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</si>
  <si>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</si>
  <si>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</si>
  <si>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</si>
  <si>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</si>
  <si>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</si>
  <si>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</si>
  <si>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</si>
  <si>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</si>
  <si>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</si>
  <si>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</si>
  <si>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</si>
  <si>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</si>
  <si>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</si>
  <si>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</si>
  <si>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</si>
  <si>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</si>
  <si>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</si>
  <si>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</si>
  <si>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</si>
  <si>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</si>
  <si>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</si>
  <si>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</si>
  <si>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</si>
  <si>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</si>
  <si>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</si>
  <si>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</si>
  <si>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</si>
  <si>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</si>
  <si>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</si>
  <si>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</si>
  <si>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</si>
  <si>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</si>
  <si>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</si>
  <si>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</si>
  <si>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</si>
  <si>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</si>
  <si>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</si>
  <si>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</si>
  <si>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</si>
  <si>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</si>
  <si>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</si>
  <si>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</si>
  <si>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</si>
  <si>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</si>
  <si>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</si>
  <si>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</si>
  <si>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</si>
  <si>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</si>
  <si>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</si>
  <si>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</si>
  <si>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</si>
  <si>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</si>
  <si>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</si>
  <si>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</si>
  <si>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</si>
  <si>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</si>
  <si>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</si>
  <si>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</si>
  <si>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</si>
  <si>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</si>
  <si>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</si>
  <si>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</si>
  <si>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</si>
  <si>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</si>
  <si>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</si>
  <si>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</si>
  <si>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</si>
  <si>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</si>
  <si>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</si>
  <si>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</si>
  <si>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</si>
  <si>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</si>
  <si>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</si>
  <si>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</si>
  <si>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</si>
  <si>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</si>
  <si>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</si>
  <si>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</si>
  <si>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</si>
  <si>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</si>
  <si>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</si>
  <si>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</si>
  <si>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</si>
  <si>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</si>
  <si>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</si>
  <si>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</si>
  <si>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</si>
  <si>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</si>
  <si>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</si>
  <si>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</si>
  <si>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</si>
  <si>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</si>
  <si>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</si>
  <si>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</si>
  <si>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</si>
  <si>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</si>
  <si>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</si>
  <si>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</si>
  <si>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</si>
  <si>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</si>
  <si>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</si>
  <si>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</si>
  <si>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</si>
  <si>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</si>
  <si>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</si>
  <si>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</si>
  <si>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</si>
  <si>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</si>
  <si>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</si>
  <si>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</si>
  <si>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</si>
  <si>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</si>
  <si>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</si>
  <si>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</si>
  <si>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</si>
  <si>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</si>
  <si>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</si>
  <si>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</si>
  <si>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</si>
  <si>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</si>
  <si>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</si>
  <si>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</si>
  <si>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</si>
  <si>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</si>
  <si>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</si>
  <si>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</si>
  <si>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</si>
  <si>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</si>
  <si>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</si>
  <si>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</si>
  <si>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</si>
  <si>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</si>
  <si>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</si>
  <si>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</si>
  <si>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</si>
  <si>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</si>
  <si>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</si>
  <si>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</si>
  <si>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</si>
  <si>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</si>
  <si>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</si>
  <si>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</si>
  <si>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</si>
  <si>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</si>
  <si>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</si>
  <si>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</si>
  <si>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</si>
  <si>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</si>
  <si>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</si>
  <si>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</si>
  <si>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</si>
  <si>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</si>
  <si>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</si>
  <si>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</si>
  <si>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</si>
  <si>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</si>
  <si>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</si>
  <si>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</si>
  <si>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</si>
  <si>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</si>
  <si>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</si>
  <si>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</si>
  <si>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</si>
  <si>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</si>
  <si>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</si>
  <si>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</si>
  <si>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</si>
  <si>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</si>
  <si>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</si>
  <si>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</si>
  <si>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</si>
  <si>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</si>
  <si>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</si>
  <si>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</si>
  <si>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</si>
  <si>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</si>
  <si>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</si>
  <si>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</si>
  <si>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</si>
  <si>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</si>
  <si>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</si>
  <si>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</si>
  <si>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</si>
  <si>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</si>
  <si>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</si>
  <si>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</si>
  <si>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</si>
  <si>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</si>
  <si>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</si>
  <si>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</si>
  <si>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</si>
  <si>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</si>
  <si>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</si>
  <si>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</si>
  <si>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</si>
  <si>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</si>
  <si>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</si>
  <si>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</si>
  <si>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</si>
  <si>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</si>
  <si>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</si>
  <si>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</si>
  <si>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</si>
  <si>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</si>
  <si>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</si>
  <si>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</si>
  <si>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</si>
  <si>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</si>
  <si>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</si>
  <si>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</si>
  <si>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</si>
  <si>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</si>
  <si>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</si>
  <si>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</si>
  <si>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</si>
  <si>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</si>
  <si>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</si>
  <si>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</si>
  <si>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</si>
  <si>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</si>
  <si>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</si>
  <si>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</si>
  <si>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</si>
  <si>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</si>
  <si>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</si>
  <si>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</si>
  <si>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</si>
  <si>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</si>
  <si>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</si>
  <si>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</si>
  <si>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</si>
  <si>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</si>
  <si>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</si>
  <si>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</si>
  <si>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</si>
  <si>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</si>
  <si>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</si>
  <si>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</si>
  <si>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</si>
  <si>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</si>
  <si>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</si>
  <si>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</si>
  <si>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</si>
  <si>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</si>
  <si>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</si>
  <si>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</si>
  <si>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</si>
  <si>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</si>
  <si>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</si>
  <si>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</si>
  <si>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</si>
  <si>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</si>
  <si>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</si>
  <si>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</si>
  <si>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</si>
  <si>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</si>
  <si>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</si>
  <si>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</si>
  <si>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</si>
  <si>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</si>
  <si>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</si>
  <si>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</si>
  <si>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</si>
  <si>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</si>
  <si>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</si>
  <si>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</si>
  <si>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</si>
  <si>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</si>
  <si>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</si>
  <si>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</si>
  <si>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</si>
  <si>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</si>
  <si>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</si>
  <si>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</si>
  <si>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</si>
  <si>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</si>
  <si>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</si>
  <si>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</si>
  <si>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</si>
  <si>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</si>
  <si>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</si>
  <si>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</si>
  <si>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</si>
  <si>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</si>
  <si>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</si>
  <si>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</si>
  <si>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</si>
  <si>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</si>
  <si>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</si>
  <si>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</si>
  <si>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</si>
  <si>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</si>
  <si>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</si>
  <si>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</si>
  <si>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</si>
  <si>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</si>
  <si>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</si>
  <si>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</si>
  <si>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</si>
  <si>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</si>
  <si>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</si>
  <si>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</si>
  <si>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</si>
  <si>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</si>
  <si>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</si>
  <si>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</si>
  <si>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</si>
  <si>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</si>
  <si>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</si>
  <si>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</si>
  <si>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June</t>
  </si>
  <si>
    <t>Martine Barons</t>
  </si>
  <si>
    <t>Warwick University</t>
  </si>
  <si>
    <t xml:space="preserve">Introduction to integrating decision support systems with applications in food security, archives and pollination eco-services.
</t>
  </si>
  <si>
    <t>TBC</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</si>
  <si>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</si>
  <si>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</si>
  <si>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</si>
  <si>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</si>
  <si>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</si>
  <si>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</si>
  <si>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</si>
  <si>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</si>
  <si>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</si>
  <si>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</si>
  <si>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</si>
  <si>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</si>
  <si>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</si>
  <si>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</si>
  <si>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</si>
  <si>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</si>
  <si>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</si>
  <si>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</si>
  <si>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</si>
  <si>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</si>
  <si>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</si>
  <si>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</si>
  <si>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</si>
  <si>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</si>
  <si>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</si>
  <si>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</si>
  <si>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</si>
  <si>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</si>
  <si>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</si>
  <si>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</si>
  <si>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</si>
  <si>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</si>
  <si>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</si>
  <si>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</si>
  <si>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</si>
  <si>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</si>
  <si>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</si>
  <si>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</si>
  <si>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</si>
  <si>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</si>
  <si>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</si>
  <si>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</si>
  <si>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</si>
  <si>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</si>
  <si>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</si>
  <si>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</si>
  <si>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</si>
  <si>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</si>
  <si>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</si>
  <si>
    <t>https://scholar.google.com/citations?hl=en&amp;user=z9-sxWMAAAAJ&amp;view_op=list_works&amp;sortby=pubdate</t>
  </si>
  <si>
    <t>https://warwick.ac.uk/fac/sci/statistics/staff/academic-research/barons/</t>
  </si>
  <si>
    <t>10am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</si>
</sst>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0" fontId="1" fillId="0" borderId="0" xfId="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6" Type="http://schemas.openxmlformats.org/officeDocument/2006/relationships/printerSettings" Target="../printerSettings/printerSettings5.bin"/><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hyperlink" Target="https://scholar.google.com/citations?hl=en&amp;user=z9-sxWMAAAAJ&amp;view_op=list_works&amp;sortby=pubdate"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B16" sqref="B16"/>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x14ac:dyDescent="0.25">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x14ac:dyDescent="0.25">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thickBot="1" x14ac:dyDescent="0.3">
      <c r="A15" s="26">
        <v>46155</v>
      </c>
      <c r="B15" s="26" t="s">
        <v>190</v>
      </c>
      <c r="C15" s="26" t="s">
        <v>378</v>
      </c>
      <c r="D15" t="s">
        <v>386</v>
      </c>
      <c r="E15">
        <v>16</v>
      </c>
      <c r="F15" t="s">
        <v>387</v>
      </c>
      <c r="G15" t="s">
        <v>388</v>
      </c>
      <c r="H15" t="s">
        <v>40</v>
      </c>
      <c r="I15" t="s">
        <v>389</v>
      </c>
      <c r="J15" s="129" t="s">
        <v>390</v>
      </c>
      <c r="K15" s="172" t="s">
        <v>445</v>
      </c>
      <c r="M15" t="s">
        <v>446</v>
      </c>
      <c r="X15" s="20"/>
      <c r="Y15" s="18"/>
    </row>
    <row r="16" spans="1:25" ht="12.75" customHeight="1" x14ac:dyDescent="0.25">
      <c r="A16" s="26">
        <v>46176</v>
      </c>
      <c r="B16" t="s">
        <v>447</v>
      </c>
      <c r="C16" s="26" t="s">
        <v>391</v>
      </c>
      <c r="D16" t="s">
        <v>386</v>
      </c>
      <c r="E16">
        <v>19</v>
      </c>
      <c r="F16" t="s">
        <v>392</v>
      </c>
      <c r="G16" t="s">
        <v>393</v>
      </c>
      <c r="H16" t="s">
        <v>224</v>
      </c>
      <c r="I16" s="129" t="s">
        <v>394</v>
      </c>
      <c r="J16" t="s">
        <v>444</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 ref="K15" r:id="rId15" xr:uid="{E8AE30CF-C39D-45BD-88FA-74BD7A1EDBAB}"/>
  </hyperlinks>
  <pageMargins left="0.7" right="0.7" top="0.75" bottom="0.75" header="0.3" footer="0.3"/>
  <pageSetup paperSize="0" orientation="portrait"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396</v>
      </c>
      <c r="G3" s="14" t="s">
        <v>395</v>
      </c>
      <c r="H3" s="14" t="s">
        <v>395</v>
      </c>
      <c r="I3" s="98" t="s">
        <v>395</v>
      </c>
      <c r="J3" s="98" t="s">
        <v>395</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396</v>
      </c>
      <c r="G4" s="14" t="s">
        <v>395</v>
      </c>
      <c r="H4" s="5" t="s">
        <v>395</v>
      </c>
      <c r="I4" s="98" t="s">
        <v>395</v>
      </c>
      <c r="J4" s="98" t="s">
        <v>395</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396</v>
      </c>
      <c r="G5" s="14" t="s">
        <v>395</v>
      </c>
      <c r="H5" s="14" t="s">
        <v>395</v>
      </c>
      <c r="I5" s="98" t="s">
        <v>395</v>
      </c>
      <c r="J5" s="98" t="s">
        <v>395</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396</v>
      </c>
      <c r="G6" s="14" t="s">
        <v>395</v>
      </c>
      <c r="H6" s="14" t="s">
        <v>395</v>
      </c>
      <c r="I6" s="98" t="s">
        <v>395</v>
      </c>
      <c r="J6" s="98" t="s">
        <v>395</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396</v>
      </c>
      <c r="G7" s="14" t="s">
        <v>395</v>
      </c>
      <c r="H7" s="14" t="s">
        <v>395</v>
      </c>
      <c r="I7" s="98" t="s">
        <v>395</v>
      </c>
      <c r="J7" s="98" t="s">
        <v>395</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396</v>
      </c>
      <c r="G8" s="14" t="s">
        <v>395</v>
      </c>
      <c r="H8" s="14" t="s">
        <v>395</v>
      </c>
      <c r="I8" s="98" t="s">
        <v>395</v>
      </c>
      <c r="J8" s="98" t="s">
        <v>395</v>
      </c>
      <c r="K8" s="102"/>
      <c r="L8" s="5"/>
      <c r="M8" s="5"/>
      <c r="N8" s="16"/>
      <c r="O8" s="35"/>
      <c r="P8" s="5"/>
      <c r="Q8" s="5"/>
      <c r="R8" s="5"/>
      <c r="S8" s="16"/>
      <c r="T8" s="35"/>
      <c r="U8" s="5"/>
      <c r="V8" s="5"/>
      <c r="W8" s="5"/>
      <c r="X8" s="15"/>
      <c r="Y8" s="13"/>
    </row>
    <row r="9" spans="1:25" ht="18.75" customHeight="1" x14ac:dyDescent="0.25">
      <c r="A9" s="75">
        <v>46121</v>
      </c>
      <c r="B9" s="2" t="s">
        <v>190</v>
      </c>
      <c r="C9" s="26" t="s">
        <v>378</v>
      </c>
      <c r="D9" s="27" t="s">
        <v>278</v>
      </c>
      <c r="E9">
        <v>13</v>
      </c>
      <c r="F9" s="16" t="s">
        <v>396</v>
      </c>
      <c r="G9" s="14" t="s">
        <v>395</v>
      </c>
      <c r="H9" s="14" t="s">
        <v>395</v>
      </c>
      <c r="I9" s="98" t="s">
        <v>395</v>
      </c>
      <c r="J9" s="98" t="s">
        <v>395</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397</v>
      </c>
    </row>
    <row r="2" spans="1:3" x14ac:dyDescent="0.25">
      <c r="A2" s="55" t="s">
        <v>398</v>
      </c>
      <c r="B2" s="54" t="s">
        <v>399</v>
      </c>
      <c r="C2" s="54" t="s">
        <v>400</v>
      </c>
    </row>
    <row r="3" spans="1:3" x14ac:dyDescent="0.25">
      <c r="A3" s="136" t="s">
        <v>401</v>
      </c>
      <c r="B3" s="137"/>
      <c r="C3" s="138" t="s">
        <v>224</v>
      </c>
    </row>
    <row r="4" spans="1:3" x14ac:dyDescent="0.25">
      <c r="A4" s="5" t="s">
        <v>402</v>
      </c>
      <c r="B4" s="52"/>
      <c r="C4" s="50" t="s">
        <v>31</v>
      </c>
    </row>
    <row r="5" spans="1:3" x14ac:dyDescent="0.25">
      <c r="A5" s="52" t="s">
        <v>403</v>
      </c>
      <c r="B5" s="52"/>
      <c r="C5" s="50" t="s">
        <v>404</v>
      </c>
    </row>
    <row r="6" spans="1:3" x14ac:dyDescent="0.25">
      <c r="A6" s="52" t="s">
        <v>405</v>
      </c>
      <c r="B6" s="52" t="s">
        <v>406</v>
      </c>
      <c r="C6" s="50" t="s">
        <v>87</v>
      </c>
    </row>
    <row r="7" spans="1:3" x14ac:dyDescent="0.25">
      <c r="A7" s="52" t="s">
        <v>407</v>
      </c>
      <c r="B7" s="52" t="s">
        <v>408</v>
      </c>
      <c r="C7" s="50" t="s">
        <v>87</v>
      </c>
    </row>
    <row r="8" spans="1:3" x14ac:dyDescent="0.25">
      <c r="A8" s="52" t="s">
        <v>409</v>
      </c>
      <c r="B8" s="52" t="s">
        <v>410</v>
      </c>
      <c r="C8" s="50" t="s">
        <v>101</v>
      </c>
    </row>
    <row r="9" spans="1:3" x14ac:dyDescent="0.25">
      <c r="A9" s="52" t="s">
        <v>411</v>
      </c>
      <c r="B9" s="52"/>
      <c r="C9" s="50"/>
    </row>
    <row r="10" spans="1:3" x14ac:dyDescent="0.25">
      <c r="A10" s="52" t="s">
        <v>412</v>
      </c>
      <c r="B10" s="52" t="s">
        <v>413</v>
      </c>
      <c r="C10" s="50" t="s">
        <v>414</v>
      </c>
    </row>
    <row r="11" spans="1:3" x14ac:dyDescent="0.25">
      <c r="A11" s="52" t="s">
        <v>415</v>
      </c>
      <c r="B11" s="52" t="s">
        <v>416</v>
      </c>
      <c r="C11" s="50" t="s">
        <v>417</v>
      </c>
    </row>
    <row r="12" spans="1:3" x14ac:dyDescent="0.25">
      <c r="A12" s="52" t="s">
        <v>418</v>
      </c>
      <c r="B12" s="52" t="s">
        <v>419</v>
      </c>
      <c r="C12" s="50" t="s">
        <v>417</v>
      </c>
    </row>
    <row r="13" spans="1:3" x14ac:dyDescent="0.25">
      <c r="A13" s="52" t="s">
        <v>420</v>
      </c>
      <c r="B13" s="52" t="s">
        <v>421</v>
      </c>
      <c r="C13" s="50" t="s">
        <v>417</v>
      </c>
    </row>
    <row r="14" spans="1:3" x14ac:dyDescent="0.25">
      <c r="A14" s="52" t="s">
        <v>422</v>
      </c>
      <c r="B14" s="52" t="s">
        <v>423</v>
      </c>
      <c r="C14" s="50" t="s">
        <v>417</v>
      </c>
    </row>
    <row r="15" spans="1:3" x14ac:dyDescent="0.25">
      <c r="A15" s="52" t="s">
        <v>424</v>
      </c>
      <c r="B15" s="52" t="s">
        <v>425</v>
      </c>
      <c r="C15" s="50" t="s">
        <v>417</v>
      </c>
    </row>
    <row r="16" spans="1:3" x14ac:dyDescent="0.25">
      <c r="A16" s="137" t="s">
        <v>321</v>
      </c>
      <c r="B16" s="137" t="s">
        <v>426</v>
      </c>
      <c r="C16" s="139" t="s">
        <v>427</v>
      </c>
    </row>
    <row r="17" spans="1:3" x14ac:dyDescent="0.25">
      <c r="A17" s="137" t="s">
        <v>346</v>
      </c>
      <c r="B17" s="137" t="s">
        <v>428</v>
      </c>
      <c r="C17" s="139" t="s">
        <v>427</v>
      </c>
    </row>
    <row r="18" spans="1:3" x14ac:dyDescent="0.25">
      <c r="A18" s="52" t="s">
        <v>429</v>
      </c>
      <c r="B18" s="52" t="s">
        <v>406</v>
      </c>
      <c r="C18" s="50" t="s">
        <v>87</v>
      </c>
    </row>
    <row r="19" spans="1:3" x14ac:dyDescent="0.25">
      <c r="A19" s="53" t="s">
        <v>430</v>
      </c>
      <c r="B19" s="53" t="s">
        <v>230</v>
      </c>
      <c r="C19" s="51" t="s">
        <v>431</v>
      </c>
    </row>
    <row r="20" spans="1:3" x14ac:dyDescent="0.25">
      <c r="A20" t="s">
        <v>432</v>
      </c>
      <c r="B20" t="s">
        <v>433</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434</v>
      </c>
      <c r="C1" s="130" t="s">
        <v>435</v>
      </c>
    </row>
    <row r="2" spans="1:9" x14ac:dyDescent="0.25">
      <c r="A2" s="169">
        <v>46051</v>
      </c>
      <c r="B2" s="170">
        <v>1</v>
      </c>
      <c r="C2" s="170" t="s">
        <v>436</v>
      </c>
      <c r="F2" s="75"/>
      <c r="G2" s="77"/>
      <c r="H2" s="29"/>
      <c r="I2" s="55"/>
    </row>
    <row r="3" spans="1:9" x14ac:dyDescent="0.25">
      <c r="A3" s="171">
        <f>A2+7</f>
        <v>46058</v>
      </c>
      <c r="B3" s="170">
        <f>B2+1</f>
        <v>2</v>
      </c>
      <c r="C3" s="170" t="s">
        <v>396</v>
      </c>
      <c r="F3" s="75"/>
      <c r="G3" s="2"/>
      <c r="H3" s="26"/>
      <c r="I3" s="27"/>
    </row>
    <row r="4" spans="1:9" x14ac:dyDescent="0.25">
      <c r="A4" s="171">
        <f t="shared" ref="A4:A12" si="0">A3+7</f>
        <v>46065</v>
      </c>
      <c r="B4" s="170">
        <f t="shared" ref="B4:B11" si="1">B3+1</f>
        <v>3</v>
      </c>
      <c r="C4" s="170" t="s">
        <v>436</v>
      </c>
      <c r="F4" s="75"/>
      <c r="G4" s="2"/>
      <c r="H4" s="26"/>
      <c r="I4" s="27"/>
    </row>
    <row r="5" spans="1:9" x14ac:dyDescent="0.25">
      <c r="A5" s="171">
        <f t="shared" si="0"/>
        <v>46072</v>
      </c>
      <c r="B5" s="170">
        <f t="shared" si="1"/>
        <v>4</v>
      </c>
      <c r="C5" s="170" t="s">
        <v>396</v>
      </c>
      <c r="F5" s="75"/>
      <c r="G5" s="2"/>
      <c r="H5" s="26"/>
      <c r="I5" s="27"/>
    </row>
    <row r="6" spans="1:9" x14ac:dyDescent="0.25">
      <c r="A6" s="133">
        <f t="shared" si="0"/>
        <v>46079</v>
      </c>
      <c r="B6" s="134">
        <f t="shared" si="1"/>
        <v>5</v>
      </c>
      <c r="C6" s="134" t="s">
        <v>436</v>
      </c>
      <c r="F6" s="75"/>
      <c r="G6" s="2"/>
      <c r="H6" s="26"/>
      <c r="I6" s="27"/>
    </row>
    <row r="7" spans="1:9" x14ac:dyDescent="0.25">
      <c r="A7" s="133">
        <f t="shared" si="0"/>
        <v>46086</v>
      </c>
      <c r="B7" s="134">
        <f t="shared" si="1"/>
        <v>6</v>
      </c>
      <c r="C7" s="134" t="s">
        <v>396</v>
      </c>
      <c r="F7" s="75"/>
      <c r="G7" s="2"/>
      <c r="H7" s="26"/>
      <c r="I7" s="27"/>
    </row>
    <row r="8" spans="1:9" x14ac:dyDescent="0.25">
      <c r="A8" s="133">
        <f t="shared" si="0"/>
        <v>46093</v>
      </c>
      <c r="B8" s="134">
        <f t="shared" si="1"/>
        <v>7</v>
      </c>
      <c r="C8" s="134" t="s">
        <v>437</v>
      </c>
      <c r="F8" s="75"/>
      <c r="G8" s="2"/>
      <c r="H8" s="26"/>
      <c r="I8" s="27"/>
    </row>
    <row r="9" spans="1:9" x14ac:dyDescent="0.25">
      <c r="A9" s="133">
        <f t="shared" si="0"/>
        <v>46100</v>
      </c>
      <c r="B9" s="134">
        <f t="shared" si="1"/>
        <v>8</v>
      </c>
      <c r="C9" s="134" t="s">
        <v>436</v>
      </c>
      <c r="F9" s="75"/>
      <c r="G9" s="2"/>
      <c r="H9" s="26"/>
      <c r="I9" s="27"/>
    </row>
    <row r="10" spans="1:9" x14ac:dyDescent="0.25">
      <c r="A10" s="133">
        <f t="shared" si="0"/>
        <v>46107</v>
      </c>
      <c r="B10" s="134">
        <f t="shared" si="1"/>
        <v>9</v>
      </c>
      <c r="C10" s="134" t="s">
        <v>437</v>
      </c>
      <c r="F10" s="75"/>
      <c r="G10" s="2"/>
      <c r="H10" s="26"/>
      <c r="I10" s="27"/>
    </row>
    <row r="11" spans="1:9" x14ac:dyDescent="0.25">
      <c r="A11" s="133">
        <f t="shared" si="0"/>
        <v>46114</v>
      </c>
      <c r="B11" s="134">
        <f t="shared" si="1"/>
        <v>10</v>
      </c>
      <c r="C11" s="134" t="s">
        <v>436</v>
      </c>
    </row>
    <row r="12" spans="1:9" x14ac:dyDescent="0.25">
      <c r="A12" s="133">
        <f t="shared" si="0"/>
        <v>46121</v>
      </c>
      <c r="B12" s="134">
        <f t="shared" ref="B12:B14" si="2">B11+1</f>
        <v>11</v>
      </c>
      <c r="C12" s="134" t="s">
        <v>436</v>
      </c>
    </row>
    <row r="13" spans="1:9" x14ac:dyDescent="0.25">
      <c r="A13" s="133">
        <f t="shared" ref="A13:A14" si="3">A12+7</f>
        <v>46128</v>
      </c>
      <c r="B13" s="134">
        <f t="shared" si="2"/>
        <v>12</v>
      </c>
      <c r="C13" s="134" t="s">
        <v>436</v>
      </c>
    </row>
    <row r="14" spans="1:9" x14ac:dyDescent="0.25">
      <c r="A14" s="133">
        <f t="shared" si="3"/>
        <v>46135</v>
      </c>
      <c r="B14" s="134">
        <f t="shared" si="2"/>
        <v>13</v>
      </c>
      <c r="C14" s="134" t="s">
        <v>436</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438</v>
      </c>
    </row>
    <row r="3" spans="1:9" ht="18.75" x14ac:dyDescent="0.3">
      <c r="A3" s="79" t="s">
        <v>439</v>
      </c>
    </row>
    <row r="5" spans="1:9" ht="37.5" x14ac:dyDescent="0.25">
      <c r="A5" s="80" t="s">
        <v>3</v>
      </c>
      <c r="B5" s="80" t="s">
        <v>4</v>
      </c>
      <c r="C5" s="80" t="s">
        <v>5</v>
      </c>
      <c r="D5" s="80" t="s">
        <v>137</v>
      </c>
      <c r="E5" s="80" t="s">
        <v>189</v>
      </c>
      <c r="F5" s="80" t="s">
        <v>8</v>
      </c>
      <c r="G5" s="80" t="s">
        <v>9</v>
      </c>
      <c r="H5" s="82" t="s">
        <v>440</v>
      </c>
      <c r="I5" s="81" t="s">
        <v>11</v>
      </c>
    </row>
    <row r="6" spans="1:9" ht="18.75" x14ac:dyDescent="0.3">
      <c r="A6" s="92">
        <v>45694</v>
      </c>
      <c r="B6" s="92" t="s">
        <v>190</v>
      </c>
      <c r="C6" s="92" t="s">
        <v>191</v>
      </c>
      <c r="D6" s="93" t="s">
        <v>278</v>
      </c>
      <c r="E6" s="93">
        <v>2</v>
      </c>
      <c r="F6" s="85" t="s">
        <v>40</v>
      </c>
      <c r="G6" s="85" t="s">
        <v>68</v>
      </c>
      <c r="H6" s="85"/>
      <c r="I6" s="84" t="s">
        <v>395</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386</v>
      </c>
      <c r="E9" s="94">
        <v>8</v>
      </c>
      <c r="F9" s="87" t="s">
        <v>204</v>
      </c>
      <c r="G9" s="87" t="s">
        <v>205</v>
      </c>
      <c r="H9" s="87" t="s">
        <v>206</v>
      </c>
      <c r="I9" s="86" t="s">
        <v>395</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441</v>
      </c>
      <c r="G11" s="87" t="s">
        <v>68</v>
      </c>
      <c r="H11" s="87"/>
      <c r="I11" s="86" t="s">
        <v>395</v>
      </c>
    </row>
    <row r="12" spans="1:9" ht="18.75" x14ac:dyDescent="0.3">
      <c r="A12" s="83">
        <v>45758</v>
      </c>
      <c r="B12" s="83" t="s">
        <v>28</v>
      </c>
      <c r="C12" s="83" t="s">
        <v>209</v>
      </c>
      <c r="D12" s="94" t="s">
        <v>214</v>
      </c>
      <c r="E12" s="94">
        <v>11</v>
      </c>
      <c r="F12" s="87" t="s">
        <v>229</v>
      </c>
      <c r="G12" s="87" t="s">
        <v>172</v>
      </c>
      <c r="H12" s="87" t="s">
        <v>31</v>
      </c>
      <c r="I12" s="86" t="s">
        <v>395</v>
      </c>
    </row>
    <row r="13" spans="1:9" ht="18.75" x14ac:dyDescent="0.3">
      <c r="A13" s="83">
        <v>45764</v>
      </c>
      <c r="B13" s="83" t="s">
        <v>190</v>
      </c>
      <c r="C13" s="83" t="s">
        <v>209</v>
      </c>
      <c r="D13" s="94" t="s">
        <v>278</v>
      </c>
      <c r="E13" s="94">
        <v>12</v>
      </c>
      <c r="F13" s="87" t="s">
        <v>442</v>
      </c>
      <c r="G13" s="87"/>
      <c r="H13" s="87"/>
      <c r="I13" s="86"/>
    </row>
    <row r="14" spans="1:9" ht="18.75" x14ac:dyDescent="0.3">
      <c r="A14" s="88">
        <v>45771</v>
      </c>
      <c r="B14" s="88" t="s">
        <v>190</v>
      </c>
      <c r="C14" s="88" t="s">
        <v>209</v>
      </c>
      <c r="D14" s="95" t="s">
        <v>278</v>
      </c>
      <c r="E14" s="95">
        <v>13</v>
      </c>
      <c r="F14" s="90" t="s">
        <v>443</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2026-05-27T19:51:03Z</dcterms:modified>
  <cp:category/>
  <cp:contentStatus/>
</cp:coreProperties>
</file>