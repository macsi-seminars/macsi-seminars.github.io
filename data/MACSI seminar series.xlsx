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429"/>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_Seminars/macsi-seminars.github.io/data/"/>
    </mc:Choice>
  </mc:AlternateContent>
  <xr:revisionPtr revIDLastSave="52" documentId="13_ncr:1_{12BE53B5-C8C7-44FE-8280-19C653D9122E}" xr6:coauthVersionLast="47" xr6:coauthVersionMax="47" xr10:uidLastSave="{C18D2917-4515-49C2-A2ED-F357C516C631}"/>
  <bookViews>
    <workbookView xWindow="-120" yWindow="-120" windowWidth="29040" windowHeight="15720" firstSheet="3" activeTab="3"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Possbile speaker (reserve list)" sheetId="4" r:id="rId6"/>
    <sheet name="Open dates" sheetId="8" r:id="rId7"/>
    <sheet name="Printed A2002" sheetId="5"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 i="7" l="1"/>
  <c r="D11" i="7" s="1"/>
  <c r="D12" i="7"/>
  <c r="C12"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E8" i="9" s="1"/>
  <c r="E9" i="9" s="1"/>
  <c r="A4" i="9"/>
  <c r="D4" i="9" s="1"/>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1" i="7" s="1"/>
  <c r="E13" i="7" s="1"/>
  <c r="D5" i="7"/>
  <c r="C14" i="6"/>
  <c r="D14" i="6"/>
  <c r="C13" i="6"/>
  <c r="D13" i="6"/>
  <c r="C12" i="6"/>
  <c r="D12" i="6"/>
  <c r="D4" i="6"/>
  <c r="D5" i="6"/>
  <c r="D6" i="6"/>
  <c r="D7" i="6"/>
  <c r="D11" i="6"/>
  <c r="D3" i="6"/>
  <c r="C19" i="3"/>
  <c r="C18" i="3"/>
  <c r="C17" i="3"/>
  <c r="C16" i="3"/>
  <c r="C15" i="3"/>
  <c r="C14" i="3"/>
  <c r="C13" i="3"/>
  <c r="C12" i="3"/>
  <c r="C11" i="3"/>
  <c r="C4" i="1"/>
  <c r="C3" i="1"/>
  <c r="C13" i="7"/>
  <c r="D13" i="7"/>
  <c r="C11" i="7" l="1"/>
  <c r="C4" i="9"/>
  <c r="C5" i="1"/>
  <c r="A5" i="9"/>
  <c r="A6" i="9" s="1"/>
  <c r="D5" i="9" l="1"/>
  <c r="C5" i="9"/>
  <c r="C6" i="1" l="1"/>
  <c r="A7" i="9"/>
  <c r="D6" i="9"/>
  <c r="C6" i="9"/>
  <c r="C7" i="1" l="1"/>
  <c r="A8" i="9"/>
  <c r="D7" i="9"/>
  <c r="C7" i="9"/>
  <c r="A9" i="9" l="1"/>
  <c r="C8" i="9"/>
  <c r="D8" i="9"/>
  <c r="C8" i="1" l="1"/>
  <c r="D9" i="9"/>
  <c r="C9" i="9"/>
  <c r="C9" i="1" l="1"/>
  <c r="C10" i="1" l="1"/>
  <c r="C11" i="1" l="1"/>
  <c r="C12" i="1"/>
</calcChain>
</file>

<file path=xl/sharedStrings.xml><?xml version="1.0" encoding="utf-8"?>
<sst xmlns="http://schemas.openxmlformats.org/spreadsheetml/2006/main" count="897" uniqueCount="366">
  <si>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</si>
  <si>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</si>
  <si>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</si>
  <si>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</si>
  <si>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</si>
  <si>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</si>
  <si>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</si>
  <si>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</si>
  <si>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</si>
  <si>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</si>
  <si>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</si>
  <si>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</si>
  <si>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</si>
  <si>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</si>
  <si>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</si>
  <si>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</si>
  <si>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</si>
  <si>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</si>
  <si>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</si>
  <si>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</si>
  <si>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</si>
  <si>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</si>
  <si>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</si>
  <si>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</si>
  <si>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</si>
  <si>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</si>
  <si>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</si>
  <si>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</si>
  <si>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</si>
  <si>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</si>
  <si>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</si>
  <si>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</si>
  <si>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</si>
  <si>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</si>
  <si>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</si>
  <si>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</si>
  <si>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</si>
  <si>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</si>
  <si>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</si>
  <si>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</si>
  <si>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</si>
  <si>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</si>
  <si>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</si>
  <si>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</si>
  <si>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</si>
  <si>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</si>
  <si>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</si>
  <si>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</si>
  <si>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</si>
  <si>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</si>
  <si>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</si>
  <si>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</si>
  <si>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</si>
  <si>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</si>
  <si>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</si>
  <si>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</si>
  <si>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</si>
  <si>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</si>
  <si>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</si>
  <si>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</si>
  <si>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</si>
  <si>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</si>
  <si>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</si>
  <si>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</si>
  <si>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</si>
  <si>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</si>
  <si>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</si>
  <si>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</si>
  <si>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</si>
  <si>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</si>
  <si>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</si>
  <si>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</si>
  <si>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</si>
  <si>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</si>
  <si>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</si>
  <si>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</si>
  <si>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</si>
  <si>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</si>
  <si>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</si>
  <si>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</si>
  <si>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</si>
  <si>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</si>
  <si>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</si>
  <si>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</si>
  <si>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</si>
  <si>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</si>
  <si>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</si>
  <si>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</si>
  <si>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</si>
  <si>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</si>
  <si>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</si>
  <si>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</si>
  <si>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</si>
  <si>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</si>
  <si>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</si>
  <si>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</si>
  <si>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</si>
  <si>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</si>
  <si>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</si>
  <si>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</si>
  <si>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</si>
  <si>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</si>
  <si>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</si>
  <si>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</si>
  <si>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</si>
  <si>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</si>
  <si>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</si>
  <si>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</si>
  <si>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</si>
  <si>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</si>
  <si>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</si>
  <si>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</si>
  <si>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</si>
  <si>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</si>
  <si>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</si>
  <si>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</si>
  <si>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</si>
  <si>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</si>
  <si>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</si>
  <si>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</si>
  <si>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</si>
  <si>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</si>
  <si>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</si>
  <si>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</si>
  <si>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</si>
  <si>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</si>
  <si>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</si>
  <si>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</si>
  <si>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</si>
  <si>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</si>
  <si>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</si>
  <si>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</si>
  <si>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</si>
  <si>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</si>
  <si>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</si>
  <si>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</si>
  <si>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</si>
  <si>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</si>
  <si>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</si>
  <si>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</si>
  <si>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</si>
  <si>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</si>
  <si>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</si>
  <si>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</si>
  <si>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</si>
  <si>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</si>
  <si>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</si>
  <si>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</si>
  <si>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</si>
  <si>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</si>
  <si>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</si>
  <si>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</si>
  <si>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</si>
  <si>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</si>
  <si>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</si>
  <si>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</si>
  <si>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</si>
  <si>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</si>
  <si>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</si>
  <si>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</si>
  <si>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</si>
  <si>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</si>
  <si>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</si>
  <si>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</si>
  <si>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</si>
  <si>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</si>
  <si>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</si>
  <si>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</si>
  <si>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</si>
  <si>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</si>
  <si>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</si>
  <si>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</si>
  <si>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</si>
  <si>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</si>
  <si>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</si>
  <si>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</si>
  <si>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</si>
  <si>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</si>
  <si>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</si>
  <si>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</si>
  <si>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</si>
  <si>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</si>
  <si>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</si>
  <si>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</si>
  <si>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</si>
  <si>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</si>
  <si>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</si>
  <si>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</si>
  <si>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</si>
  <si>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</si>
  <si>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</si>
  <si>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</si>
  <si>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</si>
  <si>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</si>
  <si>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</si>
  <si>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</si>
  <si>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</si>
  <si>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</si>
  <si>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</si>
  <si>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</si>
  <si>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</si>
  <si>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</si>
  <si>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</si>
  <si>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</si>
  <si>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</si>
  <si>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</si>
  <si>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</si>
  <si>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</si>
  <si>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</si>
  <si>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</si>
  <si>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</si>
  <si>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</si>
  <si>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</si>
  <si>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</si>
  <si>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</si>
  <si>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</si>
  <si>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</si>
  <si>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</si>
  <si>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</si>
  <si>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</si>
  <si>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</si>
  <si>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</si>
  <si>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</si>
  <si>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</si>
  <si>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</si>
  <si>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</si>
  <si>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</si>
  <si>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</si>
  <si>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</si>
  <si>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</si>
  <si>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</si>
  <si>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</si>
  <si>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</si>
  <si>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</si>
  <si>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</si>
  <si>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</si>
  <si>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</si>
  <si>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</si>
  <si>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</si>
  <si>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</si>
  <si>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</si>
  <si>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</si>
  <si>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</si>
  <si>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</si>
  <si>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</si>
  <si>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</si>
  <si>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</si>
  <si>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</si>
  <si>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</si>
  <si>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</si>
  <si>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</si>
  <si>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</si>
  <si>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</si>
  <si>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</si>
  <si>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</si>
  <si>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</si>
  <si>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</si>
  <si>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</si>
  <si>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</si>
  <si>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</si>
  <si>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</si>
  <si>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</si>
  <si>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</si>
  <si>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</si>
  <si>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</si>
  <si>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</si>
  <si>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</si>
  <si>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</si>
  <si>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</si>
  <si>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</si>
  <si>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</si>
  <si>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</si>
  <si>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</si>
  <si>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</si>
  <si>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</si>
  <si>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</si>
  <si>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</si>
  <si>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</si>
  <si>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</si>
  <si>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</si>
  <si>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</si>
  <si>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</si>
  <si>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</si>
  <si>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</si>
  <si>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</si>
  <si>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</si>
  <si>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</si>
  <si>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</si>
  <si>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</si>
  <si>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</si>
  <si>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</si>
  <si>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</si>
  <si>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</si>
  <si>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</si>
  <si>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</si>
  <si>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</si>
  <si>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</si>
  <si>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</si>
  <si>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</si>
  <si>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</si>
  <si>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</si>
  <si>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</si>
  <si>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</si>
  <si>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</si>
  <si>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</si>
  <si>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</si>
  <si>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</si>
  <si>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</si>
  <si>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</si>
  <si>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</si>
  <si>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</si>
  <si>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</si>
  <si>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</si>
  <si>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Open</t>
  </si>
  <si>
    <t>TBC</t>
  </si>
  <si>
    <t>Philip Pearce</t>
  </si>
  <si>
    <t>University College London</t>
  </si>
  <si>
    <t>Leah Keating</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</si>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</sst>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5" Type="http://schemas.openxmlformats.org/officeDocument/2006/relationships/hyperlink" Target="https://scholar.google.com/citations?user=cbz4D-gAAAAJ&amp;hl=en"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topLeftCell="E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sheetPr>
    <tabColor rgb="FF00B050"/>
  </sheetPr>
  <dimension ref="A1:Y24"/>
  <sheetViews>
    <sheetView tabSelected="1" workbookViewId="0">
      <pane xSplit="7" ySplit="17" topLeftCell="I18" activePane="bottomRight" state="frozen"/>
      <selection pane="bottomRight" activeCell="M2" sqref="M2"/>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3" si="2">TEXT(A8, "mmm")</f>
        <v>Oct</v>
      </c>
      <c r="D8" s="103" t="str">
        <f t="shared" ref="D8:D13"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c r="A11" s="160">
        <f>A10+7</f>
        <v>45981</v>
      </c>
      <c r="B11" s="103" t="s">
        <v>190</v>
      </c>
      <c r="C11" s="103" t="str">
        <f t="shared" si="2"/>
        <v>Nov</v>
      </c>
      <c r="D11" s="103" t="str">
        <f t="shared" si="3"/>
        <v>Thursday</v>
      </c>
      <c r="E11" s="103">
        <f>E9+2</f>
        <v>11</v>
      </c>
      <c r="F11" s="158" t="s">
        <v>301</v>
      </c>
      <c r="G11" s="158" t="s">
        <v>68</v>
      </c>
      <c r="H11" s="158" t="s">
        <v>101</v>
      </c>
      <c r="I11" s="158" t="s">
        <v>302</v>
      </c>
      <c r="J11" s="158" t="s">
        <v>303</v>
      </c>
      <c r="K11" s="158"/>
      <c r="L11" s="158"/>
      <c r="M11" s="158"/>
      <c r="N11" s="158" t="s">
        <v>35</v>
      </c>
      <c r="P11" t="s">
        <v>35</v>
      </c>
      <c r="Q11" t="s">
        <v>258</v>
      </c>
      <c r="U11" t="s">
        <v>71</v>
      </c>
    </row>
    <row r="12" spans="1:25" ht="15" customHeight="1">
      <c r="A12" s="160">
        <v>45988</v>
      </c>
      <c r="B12" s="160" t="s">
        <v>190</v>
      </c>
      <c r="C12" s="160" t="str">
        <f>TEXT(A12, "mmm")</f>
        <v>Nov</v>
      </c>
      <c r="D12" s="103" t="str">
        <f>TEXT(A12, "dddd")</f>
        <v>Thursday</v>
      </c>
      <c r="E12" s="103">
        <v>12</v>
      </c>
      <c r="F12" s="164" t="s">
        <v>304</v>
      </c>
      <c r="G12" s="107" t="s">
        <v>305</v>
      </c>
      <c r="H12" s="25" t="s">
        <v>211</v>
      </c>
      <c r="I12" s="97" t="s">
        <v>306</v>
      </c>
      <c r="J12" s="97" t="s">
        <v>307</v>
      </c>
      <c r="K12" s="157" t="s">
        <v>308</v>
      </c>
      <c r="L12" s="25"/>
      <c r="M12" s="25"/>
      <c r="N12" s="16" t="s">
        <v>44</v>
      </c>
      <c r="O12" s="35"/>
      <c r="P12" s="5" t="s">
        <v>44</v>
      </c>
      <c r="Q12" s="5"/>
      <c r="R12" s="5"/>
      <c r="S12" s="16"/>
      <c r="T12" s="35"/>
      <c r="U12" s="5"/>
      <c r="V12" s="5"/>
      <c r="W12" s="5"/>
      <c r="X12" s="15"/>
      <c r="Y12" s="13"/>
    </row>
    <row r="13" spans="1:25" ht="15" customHeight="1" thickBot="1">
      <c r="A13" s="161">
        <v>45995</v>
      </c>
      <c r="B13" s="161" t="s">
        <v>190</v>
      </c>
      <c r="C13" s="161" t="str">
        <f t="shared" si="2"/>
        <v>Dec</v>
      </c>
      <c r="D13" s="106" t="str">
        <f t="shared" si="3"/>
        <v>Thursday</v>
      </c>
      <c r="E13" s="106">
        <f t="shared" ref="E13" si="4">E11+2</f>
        <v>13</v>
      </c>
      <c r="F13" s="164" t="s">
        <v>309</v>
      </c>
      <c r="G13" s="107" t="s">
        <v>310</v>
      </c>
      <c r="H13" s="25" t="s">
        <v>101</v>
      </c>
      <c r="I13" s="97" t="s">
        <v>311</v>
      </c>
      <c r="J13" s="132" t="s">
        <v>312</v>
      </c>
      <c r="K13" s="157"/>
      <c r="L13" s="25"/>
      <c r="M13" s="25"/>
      <c r="N13" s="16" t="s">
        <v>44</v>
      </c>
      <c r="O13" s="35"/>
      <c r="P13" s="5" t="s">
        <v>44</v>
      </c>
      <c r="Q13" s="5" t="s">
        <v>64</v>
      </c>
      <c r="R13" s="5"/>
      <c r="S13" s="16"/>
      <c r="T13" s="35" t="s">
        <v>44</v>
      </c>
      <c r="U13" s="5" t="s">
        <v>71</v>
      </c>
      <c r="V13" s="5"/>
      <c r="W13" s="5"/>
      <c r="X13" s="15"/>
      <c r="Y13" s="13"/>
    </row>
    <row r="14" spans="1:25" ht="15" customHeight="1" thickBot="1">
      <c r="A14" s="26"/>
      <c r="B14" s="26"/>
      <c r="C14" s="26"/>
      <c r="X14" s="20"/>
      <c r="Y14" s="18"/>
    </row>
    <row r="15" spans="1:25" ht="15" customHeight="1">
      <c r="A15" s="26"/>
      <c r="B15" s="26"/>
      <c r="C15" s="26"/>
    </row>
    <row r="16" spans="1:25" ht="15" customHeight="1">
      <c r="A16" s="26"/>
      <c r="B16" s="26"/>
      <c r="C16" s="26"/>
    </row>
    <row r="17" spans="1:3" ht="15" customHeight="1">
      <c r="A17" s="26"/>
      <c r="B17" s="26"/>
      <c r="C17" s="26"/>
    </row>
    <row r="18" spans="1:3" ht="15" customHeight="1"/>
    <row r="19" spans="1:3" ht="15" customHeight="1"/>
    <row r="20" spans="1:3" ht="15" customHeight="1"/>
    <row r="21" spans="1:3" ht="15" customHeight="1"/>
    <row r="22" spans="1:3" ht="15" customHeight="1"/>
    <row r="23" spans="1:3" ht="15" customHeight="1"/>
    <row r="24" spans="1:3" ht="15" customHeight="1"/>
  </sheetData>
  <protectedRanges>
    <protectedRange algorithmName="SHA-512" hashValue="pQyTzP/d7t5ThMimBt5mu8gGozgAm1OwF6BMILsn5/kmtZ5mZf81NMi09wwU8mvtItxf0EVNWa6V4MCa0DKeSQ==" saltValue="NzZBiAQ1yFjat+SeIqh2Uw==" spinCount="100000" sqref="A3:E17"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3" name="Range6_1"/>
    <protectedRange algorithmName="SHA-512" hashValue="BKDH3ki5lE3XQdc5qZnIH6o8wW8E0PkHgMZFCkv/XYDEa+b/qenui0oReDIqPDXHceUVJ+rEgU3I9CDBHraDYg==" saltValue="ruXqG4NOhhm7cSLor8wHfw==" spinCount="100000" sqref="O2:O13" name="Range7_1"/>
    <protectedRange sqref="X14:Y14 F3:Y13"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2" r:id="rId7" xr:uid="{22FAA2AA-5C27-49D1-BE58-6994B647E0B0}"/>
    <hyperlink ref="L10" r:id="rId8" xr:uid="{868EB6F0-D226-4BCB-8A71-EF764997CE08}"/>
    <hyperlink ref="M10" r:id="rId9" xr:uid="{294C464E-EF91-4638-871F-055BFBC562A3}"/>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dimension ref="A1:Y13"/>
  <sheetViews>
    <sheetView topLeftCell="C1" workbookViewId="0">
      <selection activeCell="I15" sqref="I15"/>
    </sheetView>
  </sheetViews>
  <sheetFormatPr defaultRowHeight="15"/>
  <cols>
    <col min="1" max="1" width="12.5703125" customWidth="1"/>
    <col min="2" max="2" width="5.8554687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313</v>
      </c>
      <c r="G3" s="14" t="s">
        <v>314</v>
      </c>
      <c r="H3" s="5" t="s">
        <v>314</v>
      </c>
      <c r="I3" s="98" t="s">
        <v>314</v>
      </c>
      <c r="J3" s="98" t="s">
        <v>314</v>
      </c>
      <c r="K3" s="73"/>
      <c r="L3" s="40"/>
      <c r="M3" s="40"/>
      <c r="N3" s="38"/>
      <c r="O3" s="35"/>
      <c r="P3" s="40"/>
      <c r="Q3" s="40"/>
      <c r="R3" s="40"/>
      <c r="S3" s="38"/>
      <c r="T3" s="35"/>
      <c r="U3" s="40"/>
      <c r="V3" s="40"/>
      <c r="W3" s="40"/>
      <c r="X3" s="46"/>
      <c r="Y3" s="44"/>
    </row>
    <row r="4" spans="1:25" ht="15.75" customHeight="1">
      <c r="A4" s="75">
        <f>A3+14</f>
        <v>46065</v>
      </c>
      <c r="B4" s="2" t="s">
        <v>190</v>
      </c>
      <c r="C4" s="26" t="str">
        <f t="shared" ref="C4:C9" si="0">TEXT(A4, "mmm")</f>
        <v>Feb</v>
      </c>
      <c r="D4" s="27" t="str">
        <f t="shared" ref="D4:D9" si="1">TEXT(A4, "dddd")</f>
        <v>Thursday</v>
      </c>
      <c r="E4">
        <f>E3+2</f>
        <v>3</v>
      </c>
      <c r="F4" s="16" t="s">
        <v>313</v>
      </c>
      <c r="G4" s="14" t="s">
        <v>314</v>
      </c>
      <c r="H4" s="5" t="s">
        <v>314</v>
      </c>
      <c r="I4" s="98" t="s">
        <v>314</v>
      </c>
      <c r="J4" s="98" t="s">
        <v>314</v>
      </c>
      <c r="K4" s="102"/>
      <c r="L4" s="5"/>
      <c r="M4" s="5"/>
      <c r="N4" s="16"/>
      <c r="O4" s="35"/>
      <c r="P4" s="5"/>
      <c r="Q4" s="5"/>
      <c r="R4" s="5"/>
      <c r="S4" s="16"/>
      <c r="T4" s="35"/>
      <c r="U4" s="5"/>
      <c r="V4" s="5"/>
      <c r="W4" s="5"/>
      <c r="X4" s="15"/>
      <c r="Y4" s="13"/>
    </row>
    <row r="5" spans="1:25">
      <c r="A5" s="75">
        <f t="shared" ref="A5:A9" si="2">A4+14</f>
        <v>46079</v>
      </c>
      <c r="B5" s="2" t="s">
        <v>190</v>
      </c>
      <c r="C5" s="26" t="str">
        <f t="shared" si="0"/>
        <v>Feb</v>
      </c>
      <c r="D5" s="27" t="str">
        <f t="shared" si="1"/>
        <v>Thursday</v>
      </c>
      <c r="E5">
        <f t="shared" ref="E5:E9" si="3">E4+2</f>
        <v>5</v>
      </c>
      <c r="F5" s="16" t="s">
        <v>315</v>
      </c>
      <c r="G5" s="14" t="s">
        <v>316</v>
      </c>
      <c r="H5" s="5" t="s">
        <v>87</v>
      </c>
      <c r="I5" s="98" t="s">
        <v>314</v>
      </c>
      <c r="J5" s="98" t="s">
        <v>314</v>
      </c>
      <c r="K5" s="102"/>
      <c r="L5" s="5"/>
      <c r="M5" s="5"/>
      <c r="N5" s="16"/>
      <c r="O5" s="35"/>
      <c r="P5" s="5"/>
      <c r="Q5" s="5"/>
      <c r="R5" s="5"/>
      <c r="S5" s="16"/>
      <c r="T5" s="35"/>
      <c r="U5" s="5"/>
      <c r="V5" s="5"/>
      <c r="W5" s="5"/>
      <c r="X5" s="15"/>
      <c r="Y5" s="13"/>
    </row>
    <row r="6" spans="1:25" ht="15.75" customHeight="1">
      <c r="A6" s="75">
        <f>A5+14</f>
        <v>46093</v>
      </c>
      <c r="B6" s="2" t="s">
        <v>190</v>
      </c>
      <c r="C6" s="26" t="str">
        <f t="shared" si="0"/>
        <v>Mar</v>
      </c>
      <c r="D6" s="27" t="str">
        <f t="shared" si="1"/>
        <v>Thursday</v>
      </c>
      <c r="E6">
        <f t="shared" si="3"/>
        <v>7</v>
      </c>
      <c r="F6" s="16" t="s">
        <v>317</v>
      </c>
      <c r="G6" s="14" t="s">
        <v>152</v>
      </c>
      <c r="H6" s="5" t="s">
        <v>95</v>
      </c>
      <c r="I6" s="98" t="s">
        <v>314</v>
      </c>
      <c r="J6" s="98" t="s">
        <v>314</v>
      </c>
      <c r="K6" s="102"/>
      <c r="L6" s="5"/>
      <c r="M6" s="5"/>
      <c r="N6" s="16"/>
      <c r="O6" s="35"/>
      <c r="P6" s="5"/>
      <c r="Q6" s="5"/>
      <c r="R6" s="5"/>
      <c r="S6" s="16"/>
      <c r="T6" s="35"/>
      <c r="U6" s="5"/>
      <c r="V6" s="5"/>
      <c r="W6" s="5"/>
      <c r="X6" s="15"/>
      <c r="Y6" s="13"/>
    </row>
    <row r="7" spans="1:25">
      <c r="A7" s="75">
        <f t="shared" si="2"/>
        <v>46107</v>
      </c>
      <c r="B7" s="2" t="s">
        <v>190</v>
      </c>
      <c r="C7" s="26" t="str">
        <f t="shared" si="0"/>
        <v>Mar</v>
      </c>
      <c r="D7" s="27" t="str">
        <f t="shared" si="1"/>
        <v>Thursday</v>
      </c>
      <c r="E7">
        <f t="shared" si="3"/>
        <v>9</v>
      </c>
      <c r="F7" s="16" t="s">
        <v>313</v>
      </c>
      <c r="G7" s="14" t="s">
        <v>314</v>
      </c>
      <c r="H7" s="5" t="s">
        <v>314</v>
      </c>
      <c r="I7" s="98" t="s">
        <v>314</v>
      </c>
      <c r="J7" s="98" t="s">
        <v>314</v>
      </c>
      <c r="K7" s="102"/>
      <c r="L7" s="5"/>
      <c r="M7" s="5"/>
      <c r="N7" s="16"/>
      <c r="O7" s="35"/>
      <c r="P7" s="5"/>
      <c r="Q7" s="5"/>
      <c r="R7" s="5"/>
      <c r="S7" s="16"/>
      <c r="T7" s="35"/>
      <c r="U7" s="5"/>
      <c r="V7" s="5"/>
      <c r="W7" s="5"/>
      <c r="X7" s="15"/>
      <c r="Y7" s="13"/>
    </row>
    <row r="8" spans="1:25">
      <c r="A8" s="75">
        <f t="shared" si="2"/>
        <v>46121</v>
      </c>
      <c r="B8" s="2" t="s">
        <v>190</v>
      </c>
      <c r="C8" s="26" t="str">
        <f t="shared" si="0"/>
        <v>Apr</v>
      </c>
      <c r="D8" s="27" t="str">
        <f t="shared" si="1"/>
        <v>Thursday</v>
      </c>
      <c r="E8">
        <f t="shared" si="3"/>
        <v>11</v>
      </c>
      <c r="F8" s="16" t="s">
        <v>313</v>
      </c>
      <c r="G8" s="14" t="s">
        <v>314</v>
      </c>
      <c r="H8" s="5" t="s">
        <v>314</v>
      </c>
      <c r="I8" s="98" t="s">
        <v>314</v>
      </c>
      <c r="J8" s="98" t="s">
        <v>314</v>
      </c>
      <c r="K8" s="102"/>
      <c r="L8" s="5"/>
      <c r="M8" s="5"/>
      <c r="N8" s="16"/>
      <c r="O8" s="35"/>
      <c r="P8" s="5"/>
      <c r="Q8" s="5"/>
      <c r="R8" s="5"/>
      <c r="S8" s="16"/>
      <c r="T8" s="35"/>
      <c r="U8" s="5"/>
      <c r="V8" s="5"/>
      <c r="W8" s="5"/>
      <c r="X8" s="15"/>
      <c r="Y8" s="13"/>
    </row>
    <row r="9" spans="1:25" ht="18.75" customHeight="1">
      <c r="A9" s="75">
        <f t="shared" si="2"/>
        <v>46135</v>
      </c>
      <c r="B9" s="2" t="s">
        <v>190</v>
      </c>
      <c r="C9" s="26" t="str">
        <f t="shared" si="0"/>
        <v>Apr</v>
      </c>
      <c r="D9" s="27" t="str">
        <f t="shared" si="1"/>
        <v>Thursday</v>
      </c>
      <c r="E9">
        <f t="shared" si="3"/>
        <v>13</v>
      </c>
      <c r="F9" s="16" t="s">
        <v>313</v>
      </c>
      <c r="G9" s="14" t="s">
        <v>314</v>
      </c>
      <c r="H9" s="5" t="s">
        <v>314</v>
      </c>
      <c r="I9" s="98" t="s">
        <v>314</v>
      </c>
      <c r="J9" s="98" t="s">
        <v>314</v>
      </c>
      <c r="K9" s="102"/>
      <c r="L9" s="5"/>
      <c r="M9" s="5"/>
      <c r="N9" s="16"/>
      <c r="O9" s="35"/>
      <c r="P9" s="5"/>
      <c r="Q9" s="5"/>
      <c r="R9" s="5"/>
      <c r="S9" s="16"/>
      <c r="T9" s="35"/>
      <c r="U9" s="5"/>
      <c r="V9" s="5"/>
      <c r="W9" s="5"/>
      <c r="X9" s="15"/>
      <c r="Y9" s="13"/>
    </row>
    <row r="10" spans="1:25">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cols>
    <col min="1" max="1" width="31.28515625" customWidth="1"/>
    <col min="2" max="2" width="26" customWidth="1"/>
    <col min="3" max="3" width="20.140625" customWidth="1"/>
  </cols>
  <sheetData>
    <row r="1" spans="1:3">
      <c r="A1" t="s">
        <v>318</v>
      </c>
    </row>
    <row r="2" spans="1:3">
      <c r="A2" s="55" t="s">
        <v>319</v>
      </c>
      <c r="B2" s="54" t="s">
        <v>320</v>
      </c>
      <c r="C2" s="54" t="s">
        <v>321</v>
      </c>
    </row>
    <row r="3" spans="1:3">
      <c r="A3" s="136" t="s">
        <v>322</v>
      </c>
      <c r="B3" s="137"/>
      <c r="C3" s="138" t="s">
        <v>224</v>
      </c>
    </row>
    <row r="4" spans="1:3">
      <c r="A4" s="5" t="s">
        <v>323</v>
      </c>
      <c r="B4" s="52"/>
      <c r="C4" s="50" t="s">
        <v>31</v>
      </c>
    </row>
    <row r="5" spans="1:3">
      <c r="A5" s="52" t="s">
        <v>324</v>
      </c>
      <c r="B5" s="52"/>
      <c r="C5" s="50" t="s">
        <v>325</v>
      </c>
    </row>
    <row r="6" spans="1:3">
      <c r="A6" s="52" t="s">
        <v>326</v>
      </c>
      <c r="B6" s="52" t="s">
        <v>327</v>
      </c>
      <c r="C6" s="50" t="s">
        <v>87</v>
      </c>
    </row>
    <row r="7" spans="1:3">
      <c r="A7" s="52" t="s">
        <v>328</v>
      </c>
      <c r="B7" s="52" t="s">
        <v>329</v>
      </c>
      <c r="C7" s="50" t="s">
        <v>87</v>
      </c>
    </row>
    <row r="8" spans="1:3">
      <c r="A8" s="52" t="s">
        <v>330</v>
      </c>
      <c r="B8" s="52" t="s">
        <v>331</v>
      </c>
      <c r="C8" s="50" t="s">
        <v>101</v>
      </c>
    </row>
    <row r="9" spans="1:3">
      <c r="A9" s="52" t="s">
        <v>332</v>
      </c>
      <c r="B9" s="52"/>
      <c r="C9" s="50"/>
    </row>
    <row r="10" spans="1:3">
      <c r="A10" s="52" t="s">
        <v>333</v>
      </c>
      <c r="B10" s="52" t="s">
        <v>334</v>
      </c>
      <c r="C10" s="50" t="s">
        <v>335</v>
      </c>
    </row>
    <row r="11" spans="1:3">
      <c r="A11" s="52" t="s">
        <v>336</v>
      </c>
      <c r="B11" s="52" t="s">
        <v>337</v>
      </c>
      <c r="C11" s="50" t="s">
        <v>338</v>
      </c>
    </row>
    <row r="12" spans="1:3">
      <c r="A12" s="52" t="s">
        <v>339</v>
      </c>
      <c r="B12" s="52" t="s">
        <v>340</v>
      </c>
      <c r="C12" s="50" t="s">
        <v>338</v>
      </c>
    </row>
    <row r="13" spans="1:3">
      <c r="A13" s="52" t="s">
        <v>341</v>
      </c>
      <c r="B13" s="52" t="s">
        <v>342</v>
      </c>
      <c r="C13" s="50" t="s">
        <v>338</v>
      </c>
    </row>
    <row r="14" spans="1:3">
      <c r="A14" s="52" t="s">
        <v>343</v>
      </c>
      <c r="B14" s="52" t="s">
        <v>344</v>
      </c>
      <c r="C14" s="50" t="s">
        <v>338</v>
      </c>
    </row>
    <row r="15" spans="1:3">
      <c r="A15" s="52" t="s">
        <v>345</v>
      </c>
      <c r="B15" s="52" t="s">
        <v>346</v>
      </c>
      <c r="C15" s="50" t="s">
        <v>338</v>
      </c>
    </row>
    <row r="16" spans="1:3">
      <c r="A16" s="137" t="s">
        <v>309</v>
      </c>
      <c r="B16" s="137" t="s">
        <v>347</v>
      </c>
      <c r="C16" s="139" t="s">
        <v>348</v>
      </c>
    </row>
    <row r="17" spans="1:3">
      <c r="A17" s="52" t="s">
        <v>349</v>
      </c>
      <c r="B17" s="52" t="s">
        <v>350</v>
      </c>
      <c r="C17" s="50" t="s">
        <v>348</v>
      </c>
    </row>
    <row r="18" spans="1:3">
      <c r="A18" s="52" t="s">
        <v>351</v>
      </c>
      <c r="B18" s="52" t="s">
        <v>327</v>
      </c>
      <c r="C18" s="50" t="s">
        <v>87</v>
      </c>
    </row>
    <row r="19" spans="1:3">
      <c r="A19" s="53" t="s">
        <v>352</v>
      </c>
      <c r="B19" s="53" t="s">
        <v>230</v>
      </c>
      <c r="C19" s="51" t="s">
        <v>353</v>
      </c>
    </row>
    <row r="23" spans="1:3">
      <c r="A23" t="s">
        <v>354</v>
      </c>
    </row>
    <row r="24" spans="1:3">
      <c r="A24" t="s">
        <v>351</v>
      </c>
      <c r="B24" t="s">
        <v>327</v>
      </c>
      <c r="C24" t="s">
        <v>87</v>
      </c>
    </row>
    <row r="25" spans="1:3">
      <c r="A25" t="s">
        <v>352</v>
      </c>
      <c r="B25" t="s">
        <v>230</v>
      </c>
      <c r="C25" t="s">
        <v>353</v>
      </c>
    </row>
  </sheetData>
  <protectedRanges>
    <protectedRange sqref="A3" name="Range8_3"/>
    <protectedRange sqref="C3" name="Range8_4"/>
    <protectedRange sqref="A4" name="Range8_5"/>
  </protectedRange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cols>
    <col min="1" max="1" width="17.85546875" customWidth="1"/>
    <col min="6" max="6" width="14.5703125" customWidth="1"/>
  </cols>
  <sheetData>
    <row r="1" spans="1:10" ht="15.75" thickBot="1">
      <c r="A1" s="135" t="s">
        <v>3</v>
      </c>
      <c r="B1" s="131" t="s">
        <v>355</v>
      </c>
      <c r="C1" s="130" t="s">
        <v>356</v>
      </c>
    </row>
    <row r="2" spans="1:10" ht="15.75" thickTop="1">
      <c r="A2" s="133">
        <v>45911</v>
      </c>
      <c r="B2" s="134">
        <v>1</v>
      </c>
      <c r="C2" s="134" t="s">
        <v>357</v>
      </c>
      <c r="F2" s="75">
        <v>45911</v>
      </c>
      <c r="G2" s="77" t="s">
        <v>190</v>
      </c>
      <c r="H2" s="29" t="str">
        <f>TEXT(F2, "mmm")</f>
        <v>Sep</v>
      </c>
      <c r="I2" s="55" t="str">
        <f>TEXT(F2, "dddd")</f>
        <v>Thursday</v>
      </c>
      <c r="J2">
        <v>1</v>
      </c>
    </row>
    <row r="3" spans="1:10">
      <c r="A3" s="133">
        <f>A2+7</f>
        <v>45918</v>
      </c>
      <c r="B3" s="134">
        <f>B2+1</f>
        <v>2</v>
      </c>
      <c r="C3" s="134" t="s">
        <v>357</v>
      </c>
      <c r="F3" s="75">
        <v>45926</v>
      </c>
      <c r="G3" s="2" t="s">
        <v>259</v>
      </c>
      <c r="H3" s="26" t="str">
        <f>TEXT(F3, "mmm")</f>
        <v>Sep</v>
      </c>
      <c r="I3" s="27" t="str">
        <f>TEXT(F3, "dddd")</f>
        <v>Friday</v>
      </c>
      <c r="J3">
        <f>J2+2</f>
        <v>3</v>
      </c>
    </row>
    <row r="4" spans="1:10">
      <c r="A4" s="133">
        <f t="shared" ref="A4:A12" si="0">A3+7</f>
        <v>45925</v>
      </c>
      <c r="B4" s="134">
        <f t="shared" ref="B4:B11" si="1">B3+1</f>
        <v>3</v>
      </c>
      <c r="C4" s="134" t="s">
        <v>357</v>
      </c>
      <c r="F4" s="75">
        <v>45939</v>
      </c>
      <c r="G4" s="2" t="s">
        <v>190</v>
      </c>
      <c r="H4" s="26" t="str">
        <f t="shared" ref="H4" si="2">TEXT(F4, "mmm")</f>
        <v>Oct</v>
      </c>
      <c r="I4" s="27" t="str">
        <f t="shared" ref="I4" si="3">TEXT(F4, "dddd")</f>
        <v>Thursday</v>
      </c>
      <c r="J4">
        <f>J3+2</f>
        <v>5</v>
      </c>
    </row>
    <row r="5" spans="1:10">
      <c r="A5" s="133">
        <f t="shared" si="0"/>
        <v>45932</v>
      </c>
      <c r="B5" s="134">
        <f t="shared" si="1"/>
        <v>4</v>
      </c>
      <c r="C5" s="134" t="s">
        <v>357</v>
      </c>
      <c r="F5" s="75">
        <v>45946</v>
      </c>
      <c r="G5" s="2" t="s">
        <v>190</v>
      </c>
      <c r="H5" s="26" t="s">
        <v>277</v>
      </c>
      <c r="I5" s="27" t="s">
        <v>278</v>
      </c>
      <c r="J5">
        <v>6</v>
      </c>
    </row>
    <row r="6" spans="1:10">
      <c r="A6" s="133">
        <f t="shared" si="0"/>
        <v>45939</v>
      </c>
      <c r="B6" s="134">
        <f t="shared" si="1"/>
        <v>5</v>
      </c>
      <c r="C6" s="134" t="s">
        <v>357</v>
      </c>
      <c r="F6" s="75">
        <v>45953</v>
      </c>
      <c r="G6" s="2" t="s">
        <v>190</v>
      </c>
      <c r="H6" s="26" t="str">
        <f>TEXT(F6, "mmm")</f>
        <v>Oct</v>
      </c>
      <c r="I6" s="27" t="str">
        <f>TEXT(F6, "dddd")</f>
        <v>Thursday</v>
      </c>
      <c r="J6">
        <f>J4+2</f>
        <v>7</v>
      </c>
    </row>
    <row r="7" spans="1:10">
      <c r="A7" s="133">
        <f t="shared" si="0"/>
        <v>45946</v>
      </c>
      <c r="B7" s="134">
        <f t="shared" si="1"/>
        <v>6</v>
      </c>
      <c r="C7" s="134" t="s">
        <v>313</v>
      </c>
      <c r="F7" s="75">
        <v>45967</v>
      </c>
      <c r="G7" s="2" t="s">
        <v>190</v>
      </c>
      <c r="H7" s="26" t="str">
        <f>TEXT(F7, "mmm")</f>
        <v>Nov</v>
      </c>
      <c r="I7" s="27" t="str">
        <f>TEXT(F7, "dddd")</f>
        <v>Thursday</v>
      </c>
      <c r="J7">
        <f>J6+2</f>
        <v>9</v>
      </c>
    </row>
    <row r="8" spans="1:10">
      <c r="A8" s="133">
        <f t="shared" si="0"/>
        <v>45953</v>
      </c>
      <c r="B8" s="134">
        <f t="shared" si="1"/>
        <v>7</v>
      </c>
      <c r="C8" s="134" t="s">
        <v>358</v>
      </c>
      <c r="F8" s="75">
        <v>45974</v>
      </c>
      <c r="G8" s="2" t="s">
        <v>190</v>
      </c>
      <c r="H8" s="26" t="str">
        <f>TEXT(F8, "mmm")</f>
        <v>Nov</v>
      </c>
      <c r="I8" s="27" t="str">
        <f>TEXT(F8, "dddd")</f>
        <v>Thursday</v>
      </c>
      <c r="J8">
        <v>10</v>
      </c>
    </row>
    <row r="9" spans="1:10">
      <c r="A9" s="133">
        <f t="shared" si="0"/>
        <v>45960</v>
      </c>
      <c r="B9" s="134">
        <f t="shared" si="1"/>
        <v>8</v>
      </c>
      <c r="C9" s="134" t="s">
        <v>357</v>
      </c>
      <c r="F9" s="75">
        <v>45981</v>
      </c>
      <c r="G9" s="2" t="s">
        <v>190</v>
      </c>
      <c r="H9" s="26" t="str">
        <f>TEXT(F9, "mmm")</f>
        <v>Nov</v>
      </c>
      <c r="I9" s="27" t="str">
        <f>TEXT(F9, "dddd")</f>
        <v>Thursday</v>
      </c>
      <c r="J9">
        <f>J7+2</f>
        <v>11</v>
      </c>
    </row>
    <row r="10" spans="1:10">
      <c r="A10" s="133">
        <f t="shared" si="0"/>
        <v>45967</v>
      </c>
      <c r="B10" s="134">
        <f t="shared" si="1"/>
        <v>9</v>
      </c>
      <c r="C10" s="134" t="s">
        <v>358</v>
      </c>
      <c r="F10" s="75">
        <v>45995</v>
      </c>
      <c r="G10" s="2" t="s">
        <v>190</v>
      </c>
      <c r="H10" s="26" t="str">
        <f>TEXT(F10, "mmm")</f>
        <v>Dec</v>
      </c>
      <c r="I10" s="27" t="str">
        <f>TEXT(F10, "dddd")</f>
        <v>Thursday</v>
      </c>
      <c r="J10">
        <f t="shared" ref="J10" si="4">J9+2</f>
        <v>13</v>
      </c>
    </row>
    <row r="11" spans="1:10">
      <c r="A11" s="133">
        <f t="shared" si="0"/>
        <v>45974</v>
      </c>
      <c r="B11" s="134">
        <f t="shared" si="1"/>
        <v>10</v>
      </c>
      <c r="C11" s="134" t="s">
        <v>357</v>
      </c>
    </row>
    <row r="12" spans="1:10">
      <c r="A12" s="133">
        <f t="shared" si="0"/>
        <v>45981</v>
      </c>
      <c r="B12" s="134">
        <f t="shared" ref="B12:B14" si="5">B11+1</f>
        <v>11</v>
      </c>
      <c r="C12" s="134" t="s">
        <v>357</v>
      </c>
    </row>
    <row r="13" spans="1:10">
      <c r="A13" s="133">
        <f t="shared" ref="A13:A14" si="6">A12+7</f>
        <v>45988</v>
      </c>
      <c r="B13" s="134">
        <f t="shared" si="5"/>
        <v>12</v>
      </c>
      <c r="C13" s="134" t="s">
        <v>313</v>
      </c>
    </row>
    <row r="14" spans="1:10">
      <c r="A14" s="133">
        <f t="shared" si="6"/>
        <v>45995</v>
      </c>
      <c r="B14" s="134">
        <f t="shared" si="5"/>
        <v>13</v>
      </c>
      <c r="C14" s="134" t="s">
        <v>357</v>
      </c>
    </row>
    <row r="15" spans="1:10">
      <c r="A15" s="133"/>
      <c r="B15" s="134"/>
      <c r="C15" s="134"/>
    </row>
    <row r="16" spans="1:10">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359</v>
      </c>
    </row>
    <row r="3" spans="1:9" ht="18.75">
      <c r="A3" s="79" t="s">
        <v>360</v>
      </c>
    </row>
    <row r="5" spans="1:9" ht="37.5">
      <c r="A5" s="80" t="s">
        <v>3</v>
      </c>
      <c r="B5" s="80" t="s">
        <v>4</v>
      </c>
      <c r="C5" s="80" t="s">
        <v>5</v>
      </c>
      <c r="D5" s="80" t="s">
        <v>137</v>
      </c>
      <c r="E5" s="80" t="s">
        <v>189</v>
      </c>
      <c r="F5" s="80" t="s">
        <v>8</v>
      </c>
      <c r="G5" s="80" t="s">
        <v>9</v>
      </c>
      <c r="H5" s="82" t="s">
        <v>361</v>
      </c>
      <c r="I5" s="81" t="s">
        <v>11</v>
      </c>
    </row>
    <row r="6" spans="1:9" ht="18.75">
      <c r="A6" s="92">
        <v>45694</v>
      </c>
      <c r="B6" s="92" t="s">
        <v>190</v>
      </c>
      <c r="C6" s="92" t="s">
        <v>191</v>
      </c>
      <c r="D6" s="93" t="s">
        <v>278</v>
      </c>
      <c r="E6" s="93">
        <v>2</v>
      </c>
      <c r="F6" s="85" t="s">
        <v>40</v>
      </c>
      <c r="G6" s="85" t="s">
        <v>68</v>
      </c>
      <c r="H6" s="85"/>
      <c r="I6" s="84" t="s">
        <v>314</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362</v>
      </c>
      <c r="E9" s="94">
        <v>8</v>
      </c>
      <c r="F9" s="87" t="s">
        <v>204</v>
      </c>
      <c r="G9" s="87" t="s">
        <v>205</v>
      </c>
      <c r="H9" s="87" t="s">
        <v>206</v>
      </c>
      <c r="I9" s="86" t="s">
        <v>314</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363</v>
      </c>
      <c r="G11" s="87" t="s">
        <v>68</v>
      </c>
      <c r="H11" s="87"/>
      <c r="I11" s="86" t="s">
        <v>314</v>
      </c>
    </row>
    <row r="12" spans="1:9" ht="18.75">
      <c r="A12" s="83">
        <v>45758</v>
      </c>
      <c r="B12" s="83" t="s">
        <v>28</v>
      </c>
      <c r="C12" s="83" t="s">
        <v>209</v>
      </c>
      <c r="D12" s="94" t="s">
        <v>214</v>
      </c>
      <c r="E12" s="94">
        <v>11</v>
      </c>
      <c r="F12" s="87" t="s">
        <v>229</v>
      </c>
      <c r="G12" s="87" t="s">
        <v>172</v>
      </c>
      <c r="H12" s="87" t="s">
        <v>31</v>
      </c>
      <c r="I12" s="86" t="s">
        <v>314</v>
      </c>
    </row>
    <row r="13" spans="1:9" ht="18.75">
      <c r="A13" s="83">
        <v>45764</v>
      </c>
      <c r="B13" s="83" t="s">
        <v>190</v>
      </c>
      <c r="C13" s="83" t="s">
        <v>209</v>
      </c>
      <c r="D13" s="94" t="s">
        <v>278</v>
      </c>
      <c r="E13" s="94">
        <v>12</v>
      </c>
      <c r="F13" s="87" t="s">
        <v>364</v>
      </c>
      <c r="G13" s="87"/>
      <c r="H13" s="87"/>
      <c r="I13" s="86"/>
    </row>
    <row r="14" spans="1:9" ht="18.75">
      <c r="A14" s="88">
        <v>45771</v>
      </c>
      <c r="B14" s="88" t="s">
        <v>190</v>
      </c>
      <c r="C14" s="88" t="s">
        <v>209</v>
      </c>
      <c r="D14" s="95" t="s">
        <v>278</v>
      </c>
      <c r="E14" s="95">
        <v>13</v>
      </c>
      <c r="F14" s="90" t="s">
        <v>365</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2025-11-12T21:33:29Z</dcterms:modified>
  <cp:category/>
  <cp:contentStatus/>
</cp:coreProperties>
</file>