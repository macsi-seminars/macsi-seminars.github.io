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575" documentId="13_ncr:1_{12BE53B5-C8C7-44FE-8280-19C653D9122E}" xr6:coauthVersionLast="47" xr6:coauthVersionMax="47" xr10:uidLastSave="{BDCAAB6C-A921-46CC-9709-3124C3A3A11C}"/>
  <bookViews>
    <workbookView xWindow="-2892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6-2027 Sem 1" sheetId="10" r:id="rId5"/>
    <sheet name="AY2026-2027 Sem 2" sheetId="12" r:id="rId6"/>
    <sheet name="AY2025-2026 Sem 2" sheetId="9" r:id="rId7"/>
    <sheet name="Possbile speaker (reserve list)" sheetId="4" r:id="rId8"/>
    <sheet name="Open dates" sheetId="8" r:id="rId9"/>
    <sheet name="Printed A2002" sheetId="5" state="hidden"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10" l="1"/>
  <c r="C6" i="10"/>
  <c r="D6" i="10"/>
  <c r="A8" i="12"/>
  <c r="A9" i="12"/>
  <c r="E4" i="12"/>
  <c r="E5" i="12" s="1"/>
  <c r="E6" i="12" s="1"/>
  <c r="E7" i="12" s="1"/>
  <c r="A4" i="12"/>
  <c r="D3" i="12"/>
  <c r="C3" i="12"/>
  <c r="C12" i="9"/>
  <c r="D12" i="9"/>
  <c r="A4" i="9"/>
  <c r="A5" i="9"/>
  <c r="D10" i="9"/>
  <c r="C10" i="9"/>
  <c r="E4" i="10"/>
  <c r="E5" i="10" s="1"/>
  <c r="E7" i="10" s="1"/>
  <c r="E9" i="10" s="1"/>
  <c r="A4" i="10"/>
  <c r="A5" i="10" s="1"/>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C12" i="7"/>
  <c r="C4" i="9"/>
  <c r="C5" i="1"/>
  <c r="A6" i="9"/>
  <c r="A7" i="9"/>
  <c r="D5" i="9"/>
  <c r="C5" i="9"/>
  <c r="C6" i="1"/>
  <c r="A8" i="9"/>
  <c r="A9" i="9"/>
  <c r="D6" i="9"/>
  <c r="C6" i="9"/>
  <c r="C7" i="1"/>
  <c r="D8" i="9"/>
  <c r="C8" i="9"/>
  <c r="C8" i="1"/>
  <c r="C9" i="1"/>
  <c r="C10" i="1"/>
  <c r="C11" i="1"/>
  <c r="C12" i="1"/>
  <c r="D4" i="10" l="1"/>
  <c r="C4" i="10"/>
  <c r="A5" i="12"/>
  <c r="D4" i="12"/>
  <c r="C4" i="12"/>
  <c r="D5" i="10" l="1"/>
  <c r="C5" i="10"/>
  <c r="A7" i="10"/>
  <c r="A8" i="10" s="1"/>
  <c r="A6" i="12"/>
  <c r="D5" i="12"/>
  <c r="C5" i="12"/>
  <c r="D8" i="10" l="1"/>
  <c r="C8" i="10"/>
  <c r="D7" i="10"/>
  <c r="C7" i="10"/>
  <c r="A9" i="10"/>
  <c r="A7" i="12"/>
  <c r="D6" i="12"/>
  <c r="C6" i="12"/>
  <c r="C9" i="10" l="1"/>
  <c r="D9" i="10"/>
  <c r="A10" i="10"/>
  <c r="D8" i="12"/>
  <c r="D7" i="12"/>
  <c r="C7" i="12"/>
  <c r="D10" i="10" l="1"/>
  <c r="A12" i="10"/>
  <c r="C12" i="10" s="1"/>
  <c r="C10" i="10"/>
</calcChain>
</file>

<file path=xl/sharedStrings.xml><?xml version="1.0" encoding="utf-8"?>
<sst xmlns="http://schemas.openxmlformats.org/spreadsheetml/2006/main" count="1143" uniqueCount="473">
  <si>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</si>
  <si>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</si>
  <si>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</si>
  <si>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</si>
  <si>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</si>
  <si>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</si>
  <si>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</si>
  <si>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</si>
  <si>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</si>
  <si>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</si>
  <si>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</si>
  <si>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</si>
  <si>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</si>
  <si>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</si>
  <si>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</si>
  <si>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</si>
  <si>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</si>
  <si>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</si>
  <si>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</si>
  <si>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</si>
  <si>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</si>
  <si>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</si>
  <si>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</si>
  <si>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</si>
  <si>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</si>
  <si>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</si>
  <si>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</si>
  <si>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</si>
  <si>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</si>
  <si>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</si>
  <si>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</si>
  <si>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</si>
  <si>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</si>
  <si>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</si>
  <si>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</si>
  <si>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</si>
  <si>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</si>
  <si>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</si>
  <si>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</si>
  <si>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</si>
  <si>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</si>
  <si>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</si>
  <si>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</si>
  <si>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</si>
  <si>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</si>
  <si>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</si>
  <si>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</si>
  <si>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</si>
  <si>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</si>
  <si>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</si>
  <si>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</si>
  <si>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</si>
  <si>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</si>
  <si>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</si>
  <si>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</si>
  <si>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</si>
  <si>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</si>
  <si>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</si>
  <si>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</si>
  <si>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</si>
  <si>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</si>
  <si>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</si>
  <si>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</si>
  <si>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</si>
  <si>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</si>
  <si>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</si>
  <si>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</si>
  <si>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</si>
  <si>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</si>
  <si>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</si>
  <si>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</si>
  <si>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</si>
  <si>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</si>
  <si>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</si>
  <si>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</si>
  <si>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</si>
  <si>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</si>
  <si>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</si>
  <si>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</si>
  <si>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</si>
  <si>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</si>
  <si>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</si>
  <si>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</si>
  <si>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</si>
  <si>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</si>
  <si>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</si>
  <si>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</si>
  <si>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</si>
  <si>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</si>
  <si>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</si>
  <si>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</si>
  <si>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</si>
  <si>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</si>
  <si>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</si>
  <si>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</si>
  <si>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</si>
  <si>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</si>
  <si>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</si>
  <si>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</si>
  <si>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</si>
  <si>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</si>
  <si>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</si>
  <si>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</si>
  <si>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</si>
  <si>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</si>
  <si>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</si>
  <si>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</si>
  <si>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</si>
  <si>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</si>
  <si>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</si>
  <si>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</si>
  <si>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</si>
  <si>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</si>
  <si>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</si>
  <si>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</si>
  <si>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</si>
  <si>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</si>
  <si>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</si>
  <si>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</si>
  <si>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</si>
  <si>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</si>
  <si>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</si>
  <si>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</si>
  <si>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</si>
  <si>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</si>
  <si>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</si>
  <si>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</si>
  <si>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</si>
  <si>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</si>
  <si>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</si>
  <si>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</si>
  <si>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</si>
  <si>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</si>
  <si>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</si>
  <si>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</si>
  <si>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</si>
  <si>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</si>
  <si>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</si>
  <si>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</si>
  <si>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</si>
  <si>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</si>
  <si>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</si>
  <si>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</si>
  <si>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</si>
  <si>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</si>
  <si>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</si>
  <si>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</si>
  <si>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</si>
  <si>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</si>
  <si>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</si>
  <si>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</si>
  <si>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</si>
  <si>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</si>
  <si>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</si>
  <si>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</si>
  <si>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</si>
  <si>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</si>
  <si>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</si>
  <si>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</si>
  <si>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</si>
  <si>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</si>
  <si>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</si>
  <si>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</si>
  <si>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</si>
  <si>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</si>
  <si>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</si>
  <si>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</si>
  <si>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</si>
  <si>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</si>
  <si>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</si>
  <si>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</si>
  <si>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</si>
  <si>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</si>
  <si>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</si>
  <si>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</si>
  <si>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</si>
  <si>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</si>
  <si>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</si>
  <si>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</si>
  <si>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</si>
  <si>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</si>
  <si>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</si>
  <si>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</si>
  <si>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</si>
  <si>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</si>
  <si>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</si>
  <si>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</si>
  <si>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</si>
  <si>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</si>
  <si>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</si>
  <si>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</si>
  <si>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</si>
  <si>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</si>
  <si>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</si>
  <si>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</si>
  <si>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</si>
  <si>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</si>
  <si>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</si>
  <si>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</si>
  <si>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</si>
  <si>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</si>
  <si>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</si>
  <si>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</si>
  <si>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</si>
  <si>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</si>
  <si>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</si>
  <si>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</si>
  <si>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</si>
  <si>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</si>
  <si>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</si>
  <si>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</si>
  <si>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</si>
  <si>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</si>
  <si>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</si>
  <si>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</si>
  <si>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</si>
  <si>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</si>
  <si>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</si>
  <si>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</si>
  <si>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</si>
  <si>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</si>
  <si>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</si>
  <si>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</si>
  <si>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</si>
  <si>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</si>
  <si>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</si>
  <si>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</si>
  <si>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</si>
  <si>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</si>
  <si>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</si>
  <si>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</si>
  <si>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</si>
  <si>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</si>
  <si>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</si>
  <si>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</si>
  <si>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</si>
  <si>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</si>
  <si>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</si>
  <si>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</si>
  <si>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</si>
  <si>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</si>
  <si>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</si>
  <si>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</si>
  <si>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</si>
  <si>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</si>
  <si>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</si>
  <si>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</si>
  <si>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</si>
  <si>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</si>
  <si>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</si>
  <si>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</si>
  <si>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</si>
  <si>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</si>
  <si>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</si>
  <si>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</si>
  <si>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</si>
  <si>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</si>
  <si>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</si>
  <si>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</si>
  <si>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</si>
  <si>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</si>
  <si>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</si>
  <si>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</si>
  <si>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</si>
  <si>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</si>
  <si>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</si>
  <si>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</si>
  <si>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</si>
  <si>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</si>
  <si>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</si>
  <si>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</si>
  <si>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</si>
  <si>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</si>
  <si>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</si>
  <si>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</si>
  <si>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</si>
  <si>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</si>
  <si>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</si>
  <si>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</si>
  <si>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</si>
  <si>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</si>
  <si>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</si>
  <si>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</si>
  <si>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</si>
  <si>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</si>
  <si>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</si>
  <si>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</si>
  <si>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</si>
  <si>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</si>
  <si>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</si>
  <si>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</si>
  <si>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</si>
  <si>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</si>
  <si>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</si>
  <si>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</si>
  <si>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</si>
  <si>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</si>
  <si>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</si>
  <si>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</si>
  <si>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</si>
  <si>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</si>
  <si>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</si>
  <si>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</si>
  <si>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</si>
  <si>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</si>
  <si>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</si>
  <si>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</si>
  <si>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</si>
  <si>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</si>
  <si>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</si>
  <si>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</si>
  <si>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</si>
  <si>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</si>
  <si>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</si>
  <si>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</si>
  <si>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</si>
  <si>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</si>
  <si>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</si>
  <si>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</si>
  <si>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</si>
  <si>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</si>
  <si>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</si>
  <si>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</si>
  <si>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</si>
  <si>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</si>
  <si>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</si>
  <si>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</si>
  <si>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Open</t>
  </si>
  <si>
    <t>TBC</t>
  </si>
  <si>
    <t>Wasgner Barreto de Souza</t>
  </si>
  <si>
    <t>UCD</t>
  </si>
  <si>
    <t>JS</t>
  </si>
  <si>
    <t>Kate Finucane</t>
  </si>
  <si>
    <t>David Osullivan</t>
  </si>
  <si>
    <t>https://www.linkedin.com/in/kate-finucane-997674151/</t>
  </si>
  <si>
    <t>Marc Calvo Schwarzwalder</t>
  </si>
  <si>
    <t>Universitat Politècnica de Catalunya</t>
  </si>
  <si>
    <t>Kevin Morney</t>
  </si>
  <si>
    <t>https://scholar.google.com/citations?user=DnIzMgMAAAAJ&amp;hl=ca</t>
  </si>
  <si>
    <t>https://sites.google.com/view/marccalvoschwarzwalder/home?authuser=0</t>
  </si>
  <si>
    <t>Santiago Lamata Otín</t>
  </si>
  <si>
    <t>University of Zaragoza</t>
  </si>
  <si>
    <t xml:space="preserve">Viral Evolution and Epidemic Spreading: The Interplay of Timescales
</t>
  </si>
  <si>
    <t>Epidemic outbreaks impose a substantial burden on the health and wealth of societies. Epidemic models have long been used to understand outbreak trajectories and assess the impact of control policies over relatively short timescales. Viral evolution, however, adds another layer of complexity, particularly for rapidly evolving pathogens, whose evolutionary dynamics unfold on timescales comparable to those of epidemic spreading.
In this seminar, we explore how different dimensions of viral evolution reshape epidemic dynamics. Evolution across antigenic space allows viruses to escape population immunity through the interplay between mutation and immunity timescales, thereby determining whether epidemic activity can persist as an endemic state. The structure of the underlying genotype network further shapes this evolutionary exploration and can, by itself, account for seasonal or steady patterns of endemicity. Evolution in infectivity, instead, alters the conditions for epidemic onset through the interplay between evolutionary and epidemic timescales. Importantly, this coupling also challenges conventional expectations about epidemic control. Under certain conditions, interventions can alter evolutionary dynamics in ways that lead to worse epidemic outcomes than taking no action.
References:
[1] Lamata-Otín, Santiago, et al. "Genotype networks drive oscillating endemicity and epidemic trajectories in viral evolution." Communications Physics 8.1: 502 (2025).
[2] Lamata-Otín, Santiago, et al. "Interplay between evolutionary and epidemic time scales challenges the outcome of control policies." Physical Review Letters, In press (arXiv preprint arXiv:2603.18801) (2026).</t>
  </si>
  <si>
    <t>https://scholar.google.com/citations?user=tXGb3D8AAAAJ&amp;hl=es</t>
  </si>
  <si>
    <t>https://santiagolaot.github.io/ </t>
  </si>
  <si>
    <t>Stephen Jun Villejo</t>
  </si>
  <si>
    <t>Imperial College London</t>
  </si>
  <si>
    <t>May</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</si>
  <si>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</si>
  <si>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</si>
  <si>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</si>
  <si>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</si>
  <si>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</si>
  <si>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</si>
  <si>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</si>
  <si>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</si>
  <si>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</si>
  <si>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</si>
  <si>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</si>
  <si>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</si>
  <si>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</si>
  <si>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</si>
  <si>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</si>
  <si>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</si>
  <si>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</si>
  <si>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</si>
  <si>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</si>
  <si>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</si>
  <si>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</si>
  <si>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</si>
  <si>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</si>
  <si>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</si>
  <si>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</si>
  <si>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</si>
  <si>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</si>
  <si>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</si>
  <si>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</si>
  <si>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</si>
  <si>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</si>
  <si>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</si>
  <si>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</si>
  <si>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</si>
  <si>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</si>
  <si>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</si>
  <si>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</si>
  <si>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</si>
  <si>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</si>
  <si>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</si>
  <si>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</si>
  <si>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</si>
  <si>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</si>
  <si>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</si>
  <si>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</si>
  <si>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</si>
  <si>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</si>
  <si>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</si>
  <si>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</si>
  <si>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</si>
  <si>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</si>
  <si>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</si>
  <si>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</si>
  <si>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</si>
  <si>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</si>
  <si>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</si>
  <si>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</si>
  <si>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</si>
  <si>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</si>
  <si>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</si>
  <si>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</si>
  <si>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</si>
  <si>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</si>
  <si>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https://scholar.google.com/citations?hl=en&amp;user=z9-sxWMAAAAJ&amp;view_op=list_works&amp;sortby=pubdate</t>
  </si>
  <si>
    <t>https://warwick.ac.uk/fac/sci/statistics/staff/academic-research/barons/</t>
  </si>
  <si>
    <t>10am</t>
  </si>
  <si>
    <t>June</t>
  </si>
  <si>
    <t>Martine Barons</t>
  </si>
  <si>
    <t>Warwick University</t>
  </si>
  <si>
    <t xml:space="preserve">Introduction to integrating decision support systems with applications in food security, archives and pollination eco-services.
</t>
  </si>
  <si>
    <t>In today's complex, increasingly interconnected world, old paradigms for supporting decision making under uncertainty are falling short of the needs of decision-makers.  Typically, a wide range of factors are at play, each overseen by specialists who rely on large, complex models to oversee and make forecasts for their particular part of the system.  A single overarching model for the whole system is infeasible and rapidly becomes outdated as matters evolve.  The Integrating Decision Support System was developed to provide a robust statistical underpinning for decision support systems in such circumstances. The IDSS is a transparent and principled method for drawing together evidence from multiple expert domains, including the relevant uncertainties, and turning these into usable insights that can support decision centres in evaluating and comparing the range of policy options at their disposal.</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</si>
  <si>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</si>
  <si>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</si>
  <si>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</si>
  <si>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</si>
  <si>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</si>
  <si>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</si>
  <si>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</si>
  <si>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</si>
  <si>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</si>
  <si>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</si>
  <si>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</si>
  <si>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</si>
  <si>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</si>
  <si>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</si>
  <si>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</si>
  <si>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</si>
  <si>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</si>
  <si>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</si>
  <si>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</si>
  <si>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</si>
  <si>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Andrew Finlay</t>
  </si>
  <si>
    <t>Uni Michigan</t>
  </si>
  <si>
    <t>Denis Allard</t>
  </si>
  <si>
    <t>INRAE</t>
  </si>
  <si>
    <t>Nicholas J Clark</t>
  </si>
  <si>
    <t>University of Queensland</t>
  </si>
  <si>
    <t>Andrew Zammit Mangion</t>
  </si>
  <si>
    <t>University of Wollongong</t>
  </si>
  <si>
    <t>Trinity</t>
  </si>
  <si>
    <t>DOS</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</si>
  <si>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</si>
  <si>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</si>
  <si>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</si>
  <si>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</si>
  <si>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</si>
  <si>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</si>
  <si>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</si>
  <si>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</si>
  <si>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</si>
  <si>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</si>
  <si>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</si>
  <si>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</si>
  <si>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</si>
  <si>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</si>
  <si>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</si>
  <si>
    <t>https://www.nature.com/articles/s42005-025-02406-5; https://journals.aps.org/prl/abstract/10.1103/56yd-sfks</t>
  </si>
  <si>
    <t>Dec</t>
  </si>
  <si>
    <t>Thomas Burnett</t>
  </si>
  <si>
    <t>Eva Ryan</t>
  </si>
  <si>
    <t>Making all pairwise comparisons in multi-arm clinical trials without control treatment</t>
  </si>
  <si>
    <t>Clustering smart meter electricity data in Ireland and the UK using functional data analysis</t>
  </si>
  <si>
    <t>Mathematical Modelling of Adsorption Columns State of the Art and Future Perspectives</t>
  </si>
  <si>
    <t xml:space="preserve">Column adsorption is an essential separation and purification process widely used in water treatment, greenhouse gas capture, air purification, and chromatography. While classical mathematical models for single-component systems under idealized conditions are well established, real-world applications present complex physical and chemical challenges that push standard models beyond their limitations. In this talk we provide a comprehensive overview of the current state of column adsorption modelling, focusing on recent theoretical advances that bridge the gap between simplified mathematical descriptions and realistic industrial environments. We will start from the general description for trace amounts, consisting of an advection-diffusion equation for mass transfer within the column and a kinetic equation for describing the adsorption mechanisms, and will discuss how this formulation is tweaked in different situations, such as the presence of large amounts of contaminant, consideration of multiple contaminant species to be removed simultaneously, increase of the size of the adsorbing particles, etc.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</si>
</sst>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xf numFmtId="0" fontId="1" fillId="0" borderId="0" xfId="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scholar.google.com/citations?user=tXGb3D8AAAAJ&amp;hl=es" TargetMode="External"/><Relationship Id="rId1" Type="http://schemas.openxmlformats.org/officeDocument/2006/relationships/hyperlink" Target="https://www.linkedin.com/in/kate-finucane-997674151/"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6" Type="http://schemas.openxmlformats.org/officeDocument/2006/relationships/printerSettings" Target="../printerSettings/printerSettings6.bin"/><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5" Type="http://schemas.openxmlformats.org/officeDocument/2006/relationships/hyperlink" Target="https://scholar.google.com/citations?hl=en&amp;user=z9-sxWMAAAAJ&amp;view_op=list_works&amp;sortby=pubdate"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sheetPr>
    <tabColor rgb="FF00B050"/>
  </sheetPr>
  <dimension ref="A1:Y16"/>
  <sheetViews>
    <sheetView tabSelected="1" workbookViewId="0">
      <selection activeCell="G18" sqref="G18"/>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Sept</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12" si="0">TEXT(A4, "mmm")</f>
        <v>Sept</v>
      </c>
      <c r="D4" s="27" t="str">
        <f t="shared" ref="D4:D11"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x14ac:dyDescent="0.25">
      <c r="A5" s="75">
        <f>A4+14</f>
        <v>46303</v>
      </c>
      <c r="B5" s="2" t="s">
        <v>190</v>
      </c>
      <c r="C5" s="26" t="str">
        <f t="shared" si="0"/>
        <v>Oct</v>
      </c>
      <c r="D5" s="27" t="str">
        <f t="shared" si="1"/>
        <v>Thursday</v>
      </c>
      <c r="E5">
        <f>E4+2</f>
        <v>5</v>
      </c>
      <c r="F5" s="16" t="s">
        <v>329</v>
      </c>
      <c r="G5" s="14" t="s">
        <v>77</v>
      </c>
      <c r="H5" s="14" t="s">
        <v>31</v>
      </c>
      <c r="I5" s="98" t="s">
        <v>328</v>
      </c>
      <c r="J5" s="98" t="s">
        <v>328</v>
      </c>
      <c r="K5" s="102"/>
      <c r="L5" s="5"/>
      <c r="M5" s="5"/>
      <c r="N5" s="16"/>
      <c r="O5" s="35"/>
      <c r="P5" s="5"/>
      <c r="Q5" s="5"/>
      <c r="R5" s="5"/>
      <c r="S5" s="16"/>
      <c r="T5" s="35"/>
      <c r="U5" s="5"/>
      <c r="V5" s="5"/>
      <c r="W5" s="5"/>
      <c r="X5" s="15"/>
      <c r="Y5" s="13"/>
    </row>
    <row r="6" spans="1:25" ht="16.5" customHeight="1" x14ac:dyDescent="0.25">
      <c r="A6" s="75">
        <v>46310</v>
      </c>
      <c r="B6" s="2" t="s">
        <v>190</v>
      </c>
      <c r="C6" s="26" t="str">
        <f t="shared" ref="C6" si="2">TEXT(A6, "mmm")</f>
        <v>Oct</v>
      </c>
      <c r="D6" s="27" t="str">
        <f t="shared" ref="D6" si="3">TEXT(A6, "dddd")</f>
        <v>Thursday</v>
      </c>
      <c r="E6">
        <v>6</v>
      </c>
      <c r="F6" s="16" t="s">
        <v>332</v>
      </c>
      <c r="G6" s="14" t="s">
        <v>68</v>
      </c>
      <c r="H6" s="14" t="s">
        <v>333</v>
      </c>
      <c r="I6" s="98" t="s">
        <v>470</v>
      </c>
      <c r="J6" s="98" t="s">
        <v>328</v>
      </c>
      <c r="K6" s="102"/>
      <c r="L6" s="5"/>
      <c r="M6" s="24" t="s">
        <v>334</v>
      </c>
      <c r="N6" s="16"/>
      <c r="O6" s="35"/>
      <c r="P6" s="5"/>
      <c r="Q6" s="5"/>
      <c r="R6" s="5"/>
      <c r="S6" s="16"/>
      <c r="T6" s="35"/>
      <c r="U6" s="5"/>
      <c r="V6" s="5"/>
      <c r="W6" s="5"/>
      <c r="X6" s="15"/>
      <c r="Y6" s="13"/>
    </row>
    <row r="7" spans="1:25" ht="15.75" customHeight="1" x14ac:dyDescent="0.25">
      <c r="A7" s="75">
        <f>A5+14</f>
        <v>46317</v>
      </c>
      <c r="B7" s="2" t="s">
        <v>190</v>
      </c>
      <c r="C7" s="26" t="str">
        <f t="shared" si="0"/>
        <v>Oct</v>
      </c>
      <c r="D7" s="27" t="str">
        <f t="shared" si="1"/>
        <v>Thursday</v>
      </c>
      <c r="E7">
        <f t="shared" ref="E7" si="4">E5+2</f>
        <v>7</v>
      </c>
      <c r="F7" s="16" t="s">
        <v>327</v>
      </c>
      <c r="G7" s="14" t="s">
        <v>328</v>
      </c>
      <c r="H7" s="14" t="s">
        <v>328</v>
      </c>
      <c r="I7" s="98" t="s">
        <v>328</v>
      </c>
      <c r="J7" s="98" t="s">
        <v>328</v>
      </c>
      <c r="K7" s="102"/>
      <c r="L7" s="5"/>
      <c r="M7" s="5"/>
      <c r="N7" s="16"/>
      <c r="O7" s="35"/>
      <c r="P7" s="5"/>
      <c r="Q7" s="5"/>
      <c r="R7" s="5"/>
      <c r="S7" s="16"/>
      <c r="T7" s="35"/>
      <c r="U7" s="5"/>
      <c r="V7" s="5"/>
      <c r="W7" s="5"/>
      <c r="X7" s="15"/>
      <c r="Y7" s="13"/>
    </row>
    <row r="8" spans="1:25" ht="15.75" customHeight="1" x14ac:dyDescent="0.25">
      <c r="A8" s="75">
        <f>A7+7</f>
        <v>46324</v>
      </c>
      <c r="B8" s="2" t="s">
        <v>190</v>
      </c>
      <c r="C8" s="26" t="str">
        <f t="shared" ref="C8" si="5">TEXT(A8, "mmm")</f>
        <v>Oct</v>
      </c>
      <c r="D8" s="27" t="str">
        <f t="shared" si="1"/>
        <v>Thursday</v>
      </c>
      <c r="E8">
        <v>8</v>
      </c>
      <c r="F8" s="16" t="s">
        <v>335</v>
      </c>
      <c r="G8" s="14" t="s">
        <v>336</v>
      </c>
      <c r="H8" s="14" t="s">
        <v>337</v>
      </c>
      <c r="I8" s="98" t="s">
        <v>471</v>
      </c>
      <c r="J8" s="98" t="s">
        <v>472</v>
      </c>
      <c r="K8" s="102" t="s">
        <v>338</v>
      </c>
      <c r="L8" s="5"/>
      <c r="M8" s="5" t="s">
        <v>339</v>
      </c>
      <c r="N8" s="16"/>
      <c r="O8" s="35"/>
      <c r="P8" s="5"/>
      <c r="Q8" s="5"/>
      <c r="R8" s="5"/>
      <c r="S8" s="16"/>
      <c r="T8" s="35"/>
      <c r="U8" s="5"/>
      <c r="V8" s="5"/>
      <c r="W8" s="5"/>
      <c r="X8" s="15"/>
      <c r="Y8" s="13"/>
    </row>
    <row r="9" spans="1:25" x14ac:dyDescent="0.25">
      <c r="A9" s="75">
        <f>A7+14</f>
        <v>46331</v>
      </c>
      <c r="B9" s="2" t="s">
        <v>190</v>
      </c>
      <c r="C9" s="26" t="str">
        <f t="shared" si="0"/>
        <v>Nov</v>
      </c>
      <c r="D9" s="27" t="str">
        <f t="shared" si="1"/>
        <v>Thursday</v>
      </c>
      <c r="E9">
        <f>E7+2</f>
        <v>9</v>
      </c>
      <c r="F9" s="16" t="s">
        <v>327</v>
      </c>
      <c r="G9" s="14" t="s">
        <v>328</v>
      </c>
      <c r="H9" s="5" t="s">
        <v>328</v>
      </c>
      <c r="I9" s="98" t="s">
        <v>328</v>
      </c>
      <c r="J9" s="98" t="s">
        <v>328</v>
      </c>
      <c r="K9" s="102"/>
      <c r="L9" s="5"/>
      <c r="M9" s="5"/>
      <c r="N9" s="16"/>
      <c r="O9" s="35"/>
      <c r="P9" s="5"/>
      <c r="Q9" s="5"/>
      <c r="R9" s="5"/>
      <c r="S9" s="16"/>
      <c r="T9" s="35"/>
      <c r="U9" s="5"/>
      <c r="V9" s="5"/>
      <c r="W9" s="5"/>
      <c r="X9" s="15"/>
      <c r="Y9" s="13"/>
    </row>
    <row r="10" spans="1:25" ht="18.75" customHeight="1" x14ac:dyDescent="0.25">
      <c r="A10" s="75">
        <f>A9+14</f>
        <v>46345</v>
      </c>
      <c r="B10" s="2" t="s">
        <v>190</v>
      </c>
      <c r="C10" s="26" t="str">
        <f t="shared" si="0"/>
        <v>Nov</v>
      </c>
      <c r="D10" s="27" t="str">
        <f t="shared" si="1"/>
        <v>Thursday</v>
      </c>
      <c r="E10">
        <v>11</v>
      </c>
      <c r="F10" s="16" t="s">
        <v>340</v>
      </c>
      <c r="G10" s="14" t="s">
        <v>341</v>
      </c>
      <c r="H10" s="14" t="s">
        <v>333</v>
      </c>
      <c r="I10" s="98" t="s">
        <v>342</v>
      </c>
      <c r="J10" s="98" t="s">
        <v>343</v>
      </c>
      <c r="K10" s="102" t="s">
        <v>344</v>
      </c>
      <c r="L10" s="5" t="s">
        <v>465</v>
      </c>
      <c r="M10" s="5" t="s">
        <v>345</v>
      </c>
      <c r="N10" s="16"/>
      <c r="O10" s="35"/>
      <c r="P10" s="5"/>
      <c r="Q10" s="5"/>
      <c r="R10" s="5"/>
      <c r="S10" s="16"/>
      <c r="T10" s="35"/>
      <c r="U10" s="5"/>
      <c r="V10" s="5"/>
      <c r="W10" s="5"/>
      <c r="X10" s="15"/>
      <c r="Y10" s="13"/>
    </row>
    <row r="11" spans="1:25" ht="18.75" customHeight="1" x14ac:dyDescent="0.25">
      <c r="A11" s="75">
        <v>46357</v>
      </c>
      <c r="B11" s="2" t="s">
        <v>190</v>
      </c>
      <c r="C11" s="26" t="s">
        <v>466</v>
      </c>
      <c r="D11" s="27" t="str">
        <f t="shared" si="1"/>
        <v>Tuesday</v>
      </c>
      <c r="E11">
        <v>13</v>
      </c>
      <c r="F11" s="16" t="s">
        <v>467</v>
      </c>
      <c r="G11" s="14" t="s">
        <v>284</v>
      </c>
      <c r="H11" s="14" t="s">
        <v>468</v>
      </c>
      <c r="I11" s="98" t="s">
        <v>469</v>
      </c>
      <c r="J11" s="98" t="s">
        <v>328</v>
      </c>
      <c r="K11" s="102"/>
      <c r="L11" s="5"/>
      <c r="M11" s="5"/>
      <c r="N11" s="16"/>
      <c r="O11" s="35"/>
      <c r="P11" s="5"/>
      <c r="Q11" s="5"/>
      <c r="R11" s="5"/>
      <c r="S11" s="16"/>
      <c r="T11" s="35"/>
      <c r="U11" s="5"/>
      <c r="V11" s="5"/>
      <c r="W11" s="5"/>
      <c r="X11" s="15"/>
      <c r="Y11" s="13"/>
    </row>
    <row r="12" spans="1:25" ht="18.75" customHeight="1" x14ac:dyDescent="0.25">
      <c r="A12" s="75">
        <f>A10+14</f>
        <v>46359</v>
      </c>
      <c r="B12" s="2" t="s">
        <v>190</v>
      </c>
      <c r="C12" s="26" t="str">
        <f t="shared" si="0"/>
        <v>Dec</v>
      </c>
      <c r="D12" s="27" t="s">
        <v>278</v>
      </c>
      <c r="E12">
        <v>13</v>
      </c>
      <c r="F12" s="16" t="s">
        <v>346</v>
      </c>
      <c r="G12" s="14" t="s">
        <v>347</v>
      </c>
      <c r="H12" s="14" t="s">
        <v>31</v>
      </c>
      <c r="I12" s="98" t="s">
        <v>328</v>
      </c>
      <c r="J12" s="98" t="s">
        <v>328</v>
      </c>
      <c r="K12" s="102"/>
      <c r="L12" s="5"/>
      <c r="M12" s="5"/>
      <c r="N12" s="16"/>
      <c r="O12" s="35"/>
      <c r="P12" s="5"/>
      <c r="Q12" s="5"/>
      <c r="R12" s="5"/>
      <c r="S12" s="16"/>
      <c r="T12" s="35"/>
      <c r="U12" s="5"/>
      <c r="V12" s="5"/>
      <c r="W12" s="5"/>
      <c r="X12" s="15"/>
      <c r="Y12" s="13"/>
    </row>
    <row r="13" spans="1:25" ht="15.75" thickBot="1" x14ac:dyDescent="0.3">
      <c r="A13" s="26"/>
      <c r="B13" s="26"/>
      <c r="C13" s="26"/>
      <c r="X13" s="20"/>
      <c r="Y13" s="18"/>
    </row>
    <row r="14" spans="1:25" ht="12.75" customHeight="1" x14ac:dyDescent="0.25">
      <c r="A14" s="26"/>
      <c r="B14" s="26"/>
      <c r="C14" s="26"/>
    </row>
    <row r="15" spans="1:25" x14ac:dyDescent="0.25">
      <c r="A15" s="26"/>
      <c r="B15" s="26"/>
      <c r="C15" s="26"/>
    </row>
    <row r="16" spans="1:25" x14ac:dyDescent="0.25">
      <c r="A16" s="26"/>
      <c r="B16" s="26"/>
      <c r="C16" s="26"/>
    </row>
  </sheetData>
  <protectedRanges>
    <protectedRange algorithmName="SHA-512" hashValue="pQyTzP/d7t5ThMimBt5mu8gGozgAm1OwF6BMILsn5/kmtZ5mZf81NMi09wwU8mvtItxf0EVNWa6V4MCa0DKeSQ==" saltValue="NzZBiAQ1yFjat+SeIqh2Uw==" spinCount="100000" sqref="A3:E16"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2" name="Range6_1"/>
    <protectedRange algorithmName="SHA-512" hashValue="BKDH3ki5lE3XQdc5qZnIH6o8wW8E0PkHgMZFCkv/XYDEa+b/qenui0oReDIqPDXHceUVJ+rEgU3I9CDBHraDYg==" saltValue="ruXqG4NOhhm7cSLor8wHfw==" spinCount="100000" sqref="O2:O12" name="Range7_1"/>
    <protectedRange sqref="X13:Y13 F3:Y12" name="Range8_1"/>
    <protectedRange algorithmName="SHA-512" hashValue="JNB4nrqrfZD45ijUCOmyuk44ibTGOz2xPKKqUb8Fu6IzynfOW0Plt2J4MjvTXFpCm0cEkYqWWfoKwgUFnGztPw==" saltValue="gktf/myRKhBCN9s2pCislA==" spinCount="100000" sqref="M2" name="Range4_1_1"/>
  </protectedRanges>
  <phoneticPr fontId="10" type="noConversion"/>
  <hyperlinks>
    <hyperlink ref="M6" r:id="rId1" xr:uid="{79B86DBF-8640-40A3-AFB4-06524F0D8151}"/>
    <hyperlink ref="K10" r:id="rId2" xr:uid="{6F95A97D-397F-4C8F-B76E-531A4940E1B6}"/>
  </hyperlinks>
  <pageMargins left="0.7" right="0.7" top="0.75" bottom="0.75" header="0.3" footer="0.3"/>
  <pageSetup paperSize="0"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F1960-42A2-4A6F-A85A-E44221287C02}">
  <sheetPr>
    <tabColor theme="0"/>
  </sheetPr>
  <dimension ref="A1:Y18"/>
  <sheetViews>
    <sheetView workbookViewId="0">
      <selection activeCell="A6" sqref="A6"/>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46415</v>
      </c>
      <c r="B3" s="77" t="s">
        <v>190</v>
      </c>
      <c r="C3" s="29" t="str">
        <f>TEXT(A3, "mmm")</f>
        <v>Jan</v>
      </c>
      <c r="D3" s="55" t="str">
        <f>TEXT(A3, "dddd")</f>
        <v>Thursday</v>
      </c>
      <c r="E3">
        <v>1</v>
      </c>
      <c r="F3" s="16" t="s">
        <v>327</v>
      </c>
      <c r="G3" s="14" t="s">
        <v>328</v>
      </c>
      <c r="H3" s="14" t="s">
        <v>328</v>
      </c>
      <c r="I3" s="98" t="s">
        <v>328</v>
      </c>
      <c r="J3" s="98" t="s">
        <v>328</v>
      </c>
      <c r="K3" s="73"/>
      <c r="L3" s="40"/>
      <c r="M3" s="40"/>
      <c r="N3" s="38"/>
      <c r="O3" s="35"/>
      <c r="P3" s="40"/>
      <c r="Q3" s="40"/>
      <c r="R3" s="40"/>
      <c r="S3" s="38"/>
      <c r="T3" s="35"/>
      <c r="U3" s="40"/>
      <c r="V3" s="40"/>
      <c r="W3" s="40"/>
      <c r="X3" s="46"/>
      <c r="Y3" s="44"/>
    </row>
    <row r="4" spans="1:25" ht="15.75" customHeight="1" x14ac:dyDescent="0.25">
      <c r="A4" s="75">
        <f>A3+14</f>
        <v>46429</v>
      </c>
      <c r="B4" s="2" t="s">
        <v>190</v>
      </c>
      <c r="C4" s="26" t="str">
        <f t="shared" ref="C4:C7" si="0">TEXT(A4, "mmm")</f>
        <v>Feb</v>
      </c>
      <c r="D4" s="27" t="str">
        <f t="shared" ref="D4:D8" si="1">TEXT(A4, "dddd")</f>
        <v>Thursday</v>
      </c>
      <c r="E4">
        <f>E3+2</f>
        <v>3</v>
      </c>
      <c r="F4" s="16" t="s">
        <v>327</v>
      </c>
      <c r="G4" s="14" t="s">
        <v>328</v>
      </c>
      <c r="H4" s="5" t="s">
        <v>328</v>
      </c>
      <c r="I4" s="98" t="s">
        <v>328</v>
      </c>
      <c r="J4" s="98" t="s">
        <v>328</v>
      </c>
      <c r="K4" s="102"/>
      <c r="L4" s="5"/>
      <c r="M4" s="5"/>
      <c r="N4" s="16"/>
      <c r="O4" s="35"/>
      <c r="P4" s="5"/>
      <c r="Q4" s="5"/>
      <c r="R4" s="5"/>
      <c r="S4" s="16"/>
      <c r="T4" s="35"/>
      <c r="U4" s="5"/>
      <c r="V4" s="5"/>
      <c r="W4" s="5"/>
      <c r="X4" s="15"/>
      <c r="Y4" s="13"/>
    </row>
    <row r="5" spans="1:25" ht="18.75" customHeight="1" x14ac:dyDescent="0.25">
      <c r="A5" s="75">
        <f t="shared" ref="A5" si="2">A4+14</f>
        <v>46443</v>
      </c>
      <c r="B5" s="2" t="s">
        <v>190</v>
      </c>
      <c r="C5" s="26" t="str">
        <f t="shared" si="0"/>
        <v>Feb</v>
      </c>
      <c r="D5" s="27" t="str">
        <f t="shared" si="1"/>
        <v>Thursday</v>
      </c>
      <c r="E5">
        <f t="shared" ref="E5:E6" si="3">E4+2</f>
        <v>5</v>
      </c>
      <c r="F5" s="16" t="s">
        <v>327</v>
      </c>
      <c r="G5" s="14" t="s">
        <v>328</v>
      </c>
      <c r="H5" s="14" t="s">
        <v>328</v>
      </c>
      <c r="I5" s="98" t="s">
        <v>328</v>
      </c>
      <c r="J5" s="98" t="s">
        <v>328</v>
      </c>
      <c r="K5" s="102"/>
      <c r="L5" s="5"/>
      <c r="M5" s="5"/>
      <c r="N5" s="16"/>
      <c r="O5" s="35"/>
      <c r="P5" s="5"/>
      <c r="Q5" s="5"/>
      <c r="R5" s="5"/>
      <c r="S5" s="16"/>
      <c r="T5" s="35"/>
      <c r="U5" s="5"/>
      <c r="V5" s="5"/>
      <c r="W5" s="5"/>
      <c r="X5" s="15"/>
      <c r="Y5" s="13"/>
    </row>
    <row r="6" spans="1:25" ht="15.75" customHeight="1" x14ac:dyDescent="0.25">
      <c r="A6" s="75">
        <f>A5+14</f>
        <v>46457</v>
      </c>
      <c r="B6" s="2" t="s">
        <v>190</v>
      </c>
      <c r="C6" s="26" t="str">
        <f t="shared" si="0"/>
        <v>Mar</v>
      </c>
      <c r="D6" s="27" t="str">
        <f t="shared" si="1"/>
        <v>Thursday</v>
      </c>
      <c r="E6">
        <f t="shared" si="3"/>
        <v>7</v>
      </c>
      <c r="F6" s="16" t="s">
        <v>327</v>
      </c>
      <c r="G6" s="14" t="s">
        <v>328</v>
      </c>
      <c r="H6" s="14" t="s">
        <v>328</v>
      </c>
      <c r="I6" s="98" t="s">
        <v>328</v>
      </c>
      <c r="J6" s="98" t="s">
        <v>328</v>
      </c>
      <c r="K6" s="102"/>
      <c r="L6" s="5"/>
      <c r="M6" s="5"/>
      <c r="N6" s="16"/>
      <c r="O6" s="35"/>
      <c r="P6" s="5"/>
      <c r="Q6" s="5"/>
      <c r="R6" s="5"/>
      <c r="S6" s="16"/>
      <c r="T6" s="35"/>
      <c r="U6" s="5"/>
      <c r="V6" s="5"/>
      <c r="W6" s="5"/>
      <c r="X6" s="15"/>
      <c r="Y6" s="13"/>
    </row>
    <row r="7" spans="1:25" ht="15.75" customHeight="1" x14ac:dyDescent="0.25">
      <c r="A7" s="75">
        <f>A6+14</f>
        <v>46471</v>
      </c>
      <c r="B7" s="2" t="s">
        <v>190</v>
      </c>
      <c r="C7" s="26" t="str">
        <f t="shared" si="0"/>
        <v>Mar</v>
      </c>
      <c r="D7" s="27" t="str">
        <f t="shared" si="1"/>
        <v>Thursday</v>
      </c>
      <c r="E7">
        <f>E6+2</f>
        <v>9</v>
      </c>
      <c r="F7" s="16" t="s">
        <v>327</v>
      </c>
      <c r="G7" s="14" t="s">
        <v>328</v>
      </c>
      <c r="H7" s="14" t="s">
        <v>328</v>
      </c>
      <c r="I7" s="98" t="s">
        <v>328</v>
      </c>
      <c r="J7" s="98" t="s">
        <v>328</v>
      </c>
      <c r="K7" s="102"/>
      <c r="L7" s="5"/>
      <c r="M7" s="5"/>
      <c r="N7" s="16"/>
      <c r="O7" s="35"/>
      <c r="P7" s="5"/>
      <c r="Q7" s="5"/>
      <c r="R7" s="5"/>
      <c r="S7" s="16"/>
      <c r="T7" s="35"/>
      <c r="U7" s="5"/>
      <c r="V7" s="5"/>
      <c r="W7" s="5"/>
      <c r="X7" s="15"/>
      <c r="Y7" s="13"/>
    </row>
    <row r="8" spans="1:25" ht="17.25" customHeight="1" x14ac:dyDescent="0.25">
      <c r="A8" s="75">
        <f t="shared" ref="A8:A9" si="4">A7+14</f>
        <v>46485</v>
      </c>
      <c r="B8" s="2" t="s">
        <v>190</v>
      </c>
      <c r="C8" s="26" t="s">
        <v>209</v>
      </c>
      <c r="D8" s="27" t="str">
        <f t="shared" si="1"/>
        <v>Thursday</v>
      </c>
      <c r="E8">
        <v>11</v>
      </c>
      <c r="F8" s="16" t="s">
        <v>327</v>
      </c>
      <c r="G8" s="14" t="s">
        <v>328</v>
      </c>
      <c r="H8" s="14" t="s">
        <v>328</v>
      </c>
      <c r="I8" s="98" t="s">
        <v>328</v>
      </c>
      <c r="J8" s="98" t="s">
        <v>328</v>
      </c>
      <c r="K8" s="102"/>
      <c r="L8" s="5"/>
      <c r="M8" s="5"/>
      <c r="N8" s="16"/>
      <c r="O8" s="35"/>
      <c r="P8" s="5"/>
      <c r="Q8" s="5"/>
      <c r="R8" s="5"/>
      <c r="S8" s="16"/>
      <c r="T8" s="35"/>
      <c r="U8" s="5"/>
      <c r="V8" s="5"/>
      <c r="W8" s="5"/>
      <c r="X8" s="15"/>
      <c r="Y8" s="13"/>
    </row>
    <row r="9" spans="1:25" ht="18" customHeight="1" x14ac:dyDescent="0.25">
      <c r="A9" s="75">
        <f t="shared" si="4"/>
        <v>46499</v>
      </c>
      <c r="B9" s="2" t="s">
        <v>190</v>
      </c>
      <c r="C9" s="26" t="s">
        <v>348</v>
      </c>
      <c r="D9" s="27" t="s">
        <v>278</v>
      </c>
      <c r="E9">
        <v>13</v>
      </c>
      <c r="F9" s="16" t="s">
        <v>327</v>
      </c>
      <c r="G9" s="14" t="s">
        <v>328</v>
      </c>
      <c r="H9" s="14" t="s">
        <v>328</v>
      </c>
      <c r="I9" s="98" t="s">
        <v>328</v>
      </c>
      <c r="J9" s="98" t="s">
        <v>328</v>
      </c>
      <c r="K9" s="102"/>
      <c r="L9" s="5"/>
      <c r="M9" s="5"/>
      <c r="N9" s="16"/>
      <c r="O9" s="35"/>
      <c r="P9" s="5"/>
      <c r="Q9" s="5"/>
      <c r="R9" s="5"/>
      <c r="S9" s="16"/>
      <c r="T9" s="35"/>
      <c r="U9" s="5"/>
      <c r="V9" s="5"/>
      <c r="W9" s="5"/>
      <c r="X9" s="15"/>
      <c r="Y9" s="13"/>
    </row>
    <row r="10" spans="1:25" ht="15" customHeight="1" x14ac:dyDescent="0.25">
      <c r="A10" s="26"/>
      <c r="B10" s="26"/>
      <c r="C10" s="26"/>
      <c r="X10" s="20"/>
      <c r="Y10" s="18"/>
    </row>
    <row r="11" spans="1:25" ht="14.25" customHeight="1" x14ac:dyDescent="0.25">
      <c r="A11" s="26"/>
      <c r="B11" s="26"/>
      <c r="C11" s="26"/>
    </row>
    <row r="12" spans="1:25" ht="16.5" customHeight="1" x14ac:dyDescent="0.25">
      <c r="A12" s="26"/>
      <c r="B12" s="26"/>
      <c r="C12" s="26"/>
    </row>
    <row r="13" spans="1:25" ht="18.75" customHeight="1" x14ac:dyDescent="0.25">
      <c r="A13" s="26"/>
      <c r="B13" s="26"/>
      <c r="C13" s="26"/>
    </row>
    <row r="14" spans="1:25" ht="18.75" customHeight="1" x14ac:dyDescent="0.25"/>
    <row r="15" spans="1:25" ht="20.25" customHeight="1" x14ac:dyDescent="0.25">
      <c r="A15" s="26"/>
      <c r="B15" s="26"/>
      <c r="C15" s="26"/>
      <c r="J15" s="129"/>
      <c r="K15" s="172"/>
      <c r="X15" s="20"/>
      <c r="Y15" s="18"/>
    </row>
    <row r="16" spans="1:25" ht="12.75" customHeight="1" x14ac:dyDescent="0.25">
      <c r="A16" s="26"/>
      <c r="C16" s="26"/>
      <c r="I16" s="129"/>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15:E18" name="Range3_1"/>
    <protectedRange sqref="X15:Y15" name="Range8_1"/>
    <protectedRange algorithmName="SHA-512" hashValue="pQyTzP/d7t5ThMimBt5mu8gGozgAm1OwF6BMILsn5/kmtZ5mZf81NMi09wwU8mvtItxf0EVNWa6V4MCa0DKeSQ==" saltValue="NzZBiAQ1yFjat+SeIqh2Uw==" spinCount="100000" sqref="A3:E13" name="Range3_1_2"/>
    <protectedRange algorithmName="SHA-512" hashValue="JNB4nrqrfZD45ijUCOmyuk44ibTGOz2xPKKqUb8Fu6IzynfOW0Plt2J4MjvTXFpCm0cEkYqWWfoKwgUFnGztPw==" saltValue="gktf/myRKhBCN9s2pCislA==" spinCount="100000" sqref="A2:L2 N2:Y2" name="Range4_1_3"/>
    <protectedRange algorithmName="SHA-512" hashValue="B/N8xqtMc7pXr3rfrr4k91A6IFAPX6lxEHUr9qsJ3yHA+MBnFuw+x27DjsTYKp86iL5C7QQh1TPFTQHueWpZbw==" saltValue="c0IR/echnZmip5yS1t29Rw==" spinCount="100000" sqref="T3:T9" name="Range6_1_2"/>
    <protectedRange algorithmName="SHA-512" hashValue="BKDH3ki5lE3XQdc5qZnIH6o8wW8E0PkHgMZFCkv/XYDEa+b/qenui0oReDIqPDXHceUVJ+rEgU3I9CDBHraDYg==" saltValue="ruXqG4NOhhm7cSLor8wHfw==" spinCount="100000" sqref="O2:O9" name="Range7_1_2"/>
    <protectedRange sqref="X10:Y10 F3:Y9" name="Range8_1_2"/>
    <protectedRange algorithmName="SHA-512" hashValue="JNB4nrqrfZD45ijUCOmyuk44ibTGOz2xPKKqUb8Fu6IzynfOW0Plt2J4MjvTXFpCm0cEkYqWWfoKwgUFnGztPw==" saltValue="gktf/myRKhBCN9s2pCislA==" spinCount="100000" sqref="M2" name="Range4_1_1_2"/>
  </protectedRanges>
  <pageMargins left="0.7" right="0.7" top="0.75" bottom="0.75" header="0.3" footer="0.3"/>
  <pageSetup paperSize="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8"/>
  <sheetViews>
    <sheetView workbookViewId="0">
      <selection activeCell="D30" sqref="D30"/>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349</v>
      </c>
      <c r="G3" s="14" t="s">
        <v>350</v>
      </c>
      <c r="H3" s="5" t="s">
        <v>200</v>
      </c>
      <c r="I3" s="98" t="s">
        <v>351</v>
      </c>
      <c r="J3" s="98" t="s">
        <v>352</v>
      </c>
      <c r="K3" s="73"/>
      <c r="L3" s="40"/>
      <c r="M3" s="40"/>
      <c r="N3" s="38"/>
      <c r="O3" s="35"/>
      <c r="P3" s="40"/>
      <c r="Q3" s="40"/>
      <c r="R3" s="40"/>
      <c r="S3" s="38"/>
      <c r="T3" s="35"/>
      <c r="U3" s="40"/>
      <c r="V3" s="40"/>
      <c r="W3" s="40"/>
      <c r="X3" s="46"/>
      <c r="Y3" s="44"/>
    </row>
    <row r="4" spans="1:25" ht="15.75" customHeight="1" x14ac:dyDescent="0.25">
      <c r="A4" s="75">
        <f>A3+12</f>
        <v>46063</v>
      </c>
      <c r="B4" s="2" t="s">
        <v>353</v>
      </c>
      <c r="C4" s="26" t="str">
        <f t="shared" ref="C4:C10" si="0">TEXT(A4, "mmm")</f>
        <v>Feb</v>
      </c>
      <c r="D4" s="27" t="str">
        <f t="shared" ref="D4:D10" si="1">TEXT(A4, "dddd")</f>
        <v>Tuesday</v>
      </c>
      <c r="E4">
        <f>E3+2</f>
        <v>3</v>
      </c>
      <c r="F4" s="16" t="s">
        <v>354</v>
      </c>
      <c r="G4" s="16" t="s">
        <v>269</v>
      </c>
      <c r="H4" s="5" t="s">
        <v>87</v>
      </c>
      <c r="I4" s="98" t="s">
        <v>355</v>
      </c>
      <c r="J4" s="98" t="s">
        <v>356</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357</v>
      </c>
      <c r="G5" s="14" t="s">
        <v>358</v>
      </c>
      <c r="H5" s="5" t="s">
        <v>87</v>
      </c>
      <c r="I5" s="98" t="s">
        <v>359</v>
      </c>
      <c r="J5" s="98" t="s">
        <v>360</v>
      </c>
      <c r="K5" s="102"/>
      <c r="L5" s="5"/>
      <c r="M5" s="5"/>
      <c r="N5" s="16"/>
      <c r="O5" s="35" t="s">
        <v>361</v>
      </c>
      <c r="P5" s="5" t="s">
        <v>362</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363</v>
      </c>
      <c r="G6" s="14" t="s">
        <v>152</v>
      </c>
      <c r="H6" s="5" t="s">
        <v>95</v>
      </c>
      <c r="I6" s="98" t="s">
        <v>364</v>
      </c>
      <c r="J6" s="98" t="s">
        <v>365</v>
      </c>
      <c r="K6" s="102"/>
      <c r="L6" s="24" t="s">
        <v>366</v>
      </c>
      <c r="M6" s="24" t="s">
        <v>367</v>
      </c>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368</v>
      </c>
      <c r="G7" s="14" t="s">
        <v>77</v>
      </c>
      <c r="H7" s="5" t="s">
        <v>101</v>
      </c>
      <c r="I7" s="98" t="s">
        <v>369</v>
      </c>
      <c r="J7" s="98" t="s">
        <v>370</v>
      </c>
      <c r="K7" s="102" t="s">
        <v>371</v>
      </c>
      <c r="L7" s="24" t="s">
        <v>372</v>
      </c>
      <c r="M7" s="24" t="s">
        <v>373</v>
      </c>
      <c r="N7" s="16"/>
      <c r="O7" s="35"/>
      <c r="P7" s="5"/>
      <c r="Q7" s="5"/>
      <c r="R7" s="5"/>
      <c r="S7" s="16"/>
      <c r="T7" s="35"/>
      <c r="U7" s="5"/>
      <c r="V7" s="5"/>
      <c r="W7" s="5"/>
      <c r="X7" s="15"/>
      <c r="Y7" s="13"/>
    </row>
    <row r="8" spans="1:25" ht="17.25" customHeight="1" x14ac:dyDescent="0.25">
      <c r="A8" s="75">
        <f>A6+14</f>
        <v>46107</v>
      </c>
      <c r="B8" s="2" t="s">
        <v>190</v>
      </c>
      <c r="C8" s="26" t="str">
        <f t="shared" si="0"/>
        <v>Mar</v>
      </c>
      <c r="D8" s="27" t="str">
        <f t="shared" si="1"/>
        <v>Thursday</v>
      </c>
      <c r="E8">
        <f>E6+2</f>
        <v>9</v>
      </c>
      <c r="F8" s="16" t="s">
        <v>374</v>
      </c>
      <c r="G8" s="14" t="s">
        <v>52</v>
      </c>
      <c r="H8" s="5" t="s">
        <v>87</v>
      </c>
      <c r="I8" s="98" t="s">
        <v>375</v>
      </c>
      <c r="J8" s="98" t="s">
        <v>376</v>
      </c>
      <c r="K8" s="102"/>
      <c r="L8" s="5"/>
      <c r="M8" s="5"/>
      <c r="N8" s="16"/>
      <c r="O8" s="35"/>
      <c r="P8" s="5" t="s">
        <v>377</v>
      </c>
      <c r="Q8" s="5"/>
      <c r="R8" s="5"/>
      <c r="S8" s="16"/>
      <c r="T8" s="35"/>
      <c r="U8" s="5"/>
      <c r="V8" s="5"/>
      <c r="W8" s="5"/>
      <c r="X8" s="15"/>
      <c r="Y8" s="13"/>
    </row>
    <row r="9" spans="1:25" ht="18" customHeight="1" x14ac:dyDescent="0.25">
      <c r="A9" s="75">
        <f>A8+7</f>
        <v>46114</v>
      </c>
      <c r="B9" s="2" t="s">
        <v>190</v>
      </c>
      <c r="C9" s="26" t="s">
        <v>209</v>
      </c>
      <c r="D9" s="27" t="s">
        <v>278</v>
      </c>
      <c r="E9">
        <v>10</v>
      </c>
      <c r="F9" s="16" t="s">
        <v>378</v>
      </c>
      <c r="G9" s="14" t="s">
        <v>322</v>
      </c>
      <c r="H9" s="5" t="s">
        <v>101</v>
      </c>
      <c r="I9" s="98" t="s">
        <v>379</v>
      </c>
      <c r="J9" s="98" t="s">
        <v>380</v>
      </c>
      <c r="K9" s="102" t="s">
        <v>381</v>
      </c>
      <c r="L9" s="24" t="s">
        <v>382</v>
      </c>
      <c r="M9" s="24" t="s">
        <v>383</v>
      </c>
      <c r="N9" s="16"/>
      <c r="O9" s="35"/>
      <c r="P9" s="5"/>
      <c r="Q9" s="5"/>
      <c r="R9" s="5"/>
      <c r="S9" s="16"/>
      <c r="T9" s="35"/>
      <c r="U9" s="5"/>
      <c r="V9" s="5"/>
      <c r="W9" s="5"/>
      <c r="X9" s="15"/>
      <c r="Y9" s="13"/>
    </row>
    <row r="10" spans="1:25" ht="15" customHeight="1" x14ac:dyDescent="0.25">
      <c r="A10" s="75">
        <v>46120</v>
      </c>
      <c r="B10" s="2" t="s">
        <v>190</v>
      </c>
      <c r="C10" s="26" t="str">
        <f t="shared" si="0"/>
        <v>Apr</v>
      </c>
      <c r="D10" s="27" t="str">
        <f t="shared" si="1"/>
        <v>Wednesday</v>
      </c>
      <c r="E10">
        <v>11</v>
      </c>
      <c r="F10" s="16" t="s">
        <v>384</v>
      </c>
      <c r="G10" s="14" t="s">
        <v>77</v>
      </c>
      <c r="H10" s="5" t="s">
        <v>87</v>
      </c>
      <c r="I10" s="98" t="s">
        <v>385</v>
      </c>
      <c r="J10" s="98" t="s">
        <v>386</v>
      </c>
      <c r="K10" s="102"/>
      <c r="L10" s="5"/>
      <c r="M10" s="5"/>
      <c r="N10" s="16"/>
      <c r="O10" s="35"/>
      <c r="P10" s="5"/>
      <c r="Q10" s="5"/>
      <c r="R10" s="5"/>
      <c r="S10" s="16"/>
      <c r="T10" s="35"/>
      <c r="U10" s="5"/>
      <c r="V10" s="5"/>
      <c r="W10" s="5"/>
      <c r="X10" s="15"/>
      <c r="Y10" s="13"/>
    </row>
    <row r="11" spans="1:25" ht="14.25" customHeight="1" x14ac:dyDescent="0.25">
      <c r="A11" s="75">
        <v>46121</v>
      </c>
      <c r="B11" s="2" t="s">
        <v>353</v>
      </c>
      <c r="C11" s="26" t="s">
        <v>209</v>
      </c>
      <c r="D11" s="27" t="s">
        <v>278</v>
      </c>
      <c r="E11">
        <v>11</v>
      </c>
      <c r="F11" s="16" t="s">
        <v>387</v>
      </c>
      <c r="G11" s="14" t="s">
        <v>195</v>
      </c>
      <c r="H11" s="5" t="s">
        <v>87</v>
      </c>
      <c r="I11" s="98" t="s">
        <v>388</v>
      </c>
      <c r="J11" s="98" t="s">
        <v>389</v>
      </c>
      <c r="K11" s="102" t="s">
        <v>390</v>
      </c>
      <c r="L11" s="5"/>
      <c r="M11" s="24" t="s">
        <v>391</v>
      </c>
      <c r="N11" s="16"/>
      <c r="O11" s="35"/>
      <c r="P11" s="5"/>
      <c r="Q11" s="5"/>
      <c r="R11" s="5"/>
      <c r="S11" s="16"/>
      <c r="T11" s="35"/>
      <c r="U11" s="5"/>
      <c r="V11" s="5"/>
      <c r="W11" s="5"/>
      <c r="X11" s="15"/>
      <c r="Y11" s="13"/>
    </row>
    <row r="12" spans="1:25" ht="16.5" customHeight="1" x14ac:dyDescent="0.25">
      <c r="A12" s="75">
        <v>46128</v>
      </c>
      <c r="B12" s="2" t="s">
        <v>190</v>
      </c>
      <c r="C12" s="26" t="str">
        <f t="shared" ref="C12" si="3">TEXT(A12, "mmm")</f>
        <v>Apr</v>
      </c>
      <c r="D12" s="27" t="str">
        <f t="shared" ref="D12" si="4">TEXT(A12, "dddd")</f>
        <v>Thursday</v>
      </c>
      <c r="E12">
        <v>12</v>
      </c>
      <c r="F12" s="16" t="s">
        <v>392</v>
      </c>
      <c r="G12" s="14" t="s">
        <v>195</v>
      </c>
      <c r="H12" s="5" t="s">
        <v>78</v>
      </c>
      <c r="I12" s="98" t="s">
        <v>393</v>
      </c>
      <c r="J12" s="98" t="s">
        <v>394</v>
      </c>
      <c r="K12" s="102" t="s">
        <v>395</v>
      </c>
      <c r="L12" s="5"/>
      <c r="M12" s="24" t="s">
        <v>396</v>
      </c>
      <c r="N12" s="16"/>
      <c r="O12" s="35"/>
      <c r="P12" s="5"/>
      <c r="Q12" s="5"/>
      <c r="R12" s="5"/>
      <c r="S12" s="16"/>
      <c r="T12" s="35"/>
      <c r="U12" s="5"/>
      <c r="V12" s="5"/>
      <c r="W12" s="5"/>
      <c r="X12" s="15"/>
      <c r="Y12" s="13"/>
    </row>
    <row r="13" spans="1:25" ht="18.75" customHeight="1" x14ac:dyDescent="0.25">
      <c r="A13" s="75">
        <v>46135</v>
      </c>
      <c r="B13" s="2" t="s">
        <v>190</v>
      </c>
      <c r="C13" s="26" t="s">
        <v>209</v>
      </c>
      <c r="D13" s="27" t="s">
        <v>278</v>
      </c>
      <c r="E13">
        <v>13</v>
      </c>
      <c r="F13" s="16" t="s">
        <v>397</v>
      </c>
      <c r="G13" s="14" t="s">
        <v>73</v>
      </c>
      <c r="H13" s="5" t="s">
        <v>95</v>
      </c>
      <c r="I13" s="98" t="s">
        <v>398</v>
      </c>
      <c r="J13" s="98" t="s">
        <v>399</v>
      </c>
      <c r="K13" s="102"/>
      <c r="L13" s="5"/>
      <c r="M13" s="5"/>
      <c r="N13" s="16"/>
      <c r="O13" s="35"/>
      <c r="P13" s="5"/>
      <c r="Q13" s="5"/>
      <c r="R13" s="5"/>
      <c r="S13" s="16"/>
      <c r="T13" s="35"/>
      <c r="U13" s="5"/>
      <c r="V13" s="5"/>
      <c r="W13" s="5"/>
      <c r="X13" s="15"/>
      <c r="Y13" s="13"/>
    </row>
    <row r="14" spans="1:25" ht="18.75" customHeight="1" x14ac:dyDescent="0.25">
      <c r="A14" s="75">
        <v>46142</v>
      </c>
      <c r="B14" s="26" t="s">
        <v>259</v>
      </c>
      <c r="C14" s="26" t="s">
        <v>348</v>
      </c>
      <c r="D14" s="27" t="s">
        <v>278</v>
      </c>
      <c r="E14">
        <v>14</v>
      </c>
      <c r="F14" s="14" t="s">
        <v>400</v>
      </c>
      <c r="G14" s="14" t="s">
        <v>401</v>
      </c>
      <c r="H14" s="14" t="s">
        <v>402</v>
      </c>
      <c r="I14" s="14" t="s">
        <v>403</v>
      </c>
      <c r="J14" s="107" t="s">
        <v>404</v>
      </c>
      <c r="K14" s="102" t="s">
        <v>405</v>
      </c>
      <c r="L14" s="14"/>
      <c r="M14" s="102" t="s">
        <v>406</v>
      </c>
      <c r="N14" s="14"/>
      <c r="O14" s="35"/>
      <c r="P14" s="14"/>
      <c r="Q14" s="14"/>
      <c r="R14" s="14"/>
      <c r="S14" s="14"/>
      <c r="T14" s="35"/>
      <c r="U14" s="14"/>
      <c r="V14" s="14"/>
      <c r="W14" s="14"/>
      <c r="X14" s="15"/>
      <c r="Y14" s="13"/>
    </row>
    <row r="15" spans="1:25" ht="20.25" customHeight="1" thickBot="1" x14ac:dyDescent="0.3">
      <c r="A15" s="26">
        <v>46155</v>
      </c>
      <c r="B15" s="26" t="s">
        <v>190</v>
      </c>
      <c r="C15" s="26" t="s">
        <v>348</v>
      </c>
      <c r="D15" t="s">
        <v>407</v>
      </c>
      <c r="E15">
        <v>16</v>
      </c>
      <c r="F15" t="s">
        <v>408</v>
      </c>
      <c r="G15" t="s">
        <v>409</v>
      </c>
      <c r="H15" t="s">
        <v>40</v>
      </c>
      <c r="I15" t="s">
        <v>410</v>
      </c>
      <c r="J15" s="129" t="s">
        <v>411</v>
      </c>
      <c r="K15" s="172" t="s">
        <v>412</v>
      </c>
      <c r="M15" t="s">
        <v>413</v>
      </c>
      <c r="X15" s="20"/>
      <c r="Y15" s="18"/>
    </row>
    <row r="16" spans="1:25" ht="12.75" customHeight="1" x14ac:dyDescent="0.25">
      <c r="A16" s="26">
        <v>46176</v>
      </c>
      <c r="B16" t="s">
        <v>414</v>
      </c>
      <c r="C16" s="26" t="s">
        <v>415</v>
      </c>
      <c r="D16" t="s">
        <v>407</v>
      </c>
      <c r="E16">
        <v>19</v>
      </c>
      <c r="F16" t="s">
        <v>416</v>
      </c>
      <c r="G16" t="s">
        <v>417</v>
      </c>
      <c r="H16" t="s">
        <v>224</v>
      </c>
      <c r="I16" s="129" t="s">
        <v>418</v>
      </c>
      <c r="J16" t="s">
        <v>419</v>
      </c>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 ref="K15" r:id="rId15" xr:uid="{E8AE30CF-C39D-45BD-88FA-74BD7A1EDBAB}"/>
  </hyperlinks>
  <pageMargins left="0.7" right="0.7" top="0.75" bottom="0.75" header="0.3" footer="0.3"/>
  <pageSetup paperSize="0" orientation="portrait" r:id="rId1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420</v>
      </c>
    </row>
    <row r="2" spans="1:3" x14ac:dyDescent="0.25">
      <c r="A2" s="55" t="s">
        <v>421</v>
      </c>
      <c r="B2" s="54" t="s">
        <v>422</v>
      </c>
      <c r="C2" s="54" t="s">
        <v>423</v>
      </c>
    </row>
    <row r="3" spans="1:3" x14ac:dyDescent="0.25">
      <c r="A3" s="136" t="s">
        <v>424</v>
      </c>
      <c r="B3" s="137"/>
      <c r="C3" s="138" t="s">
        <v>224</v>
      </c>
    </row>
    <row r="4" spans="1:3" x14ac:dyDescent="0.25">
      <c r="A4" s="5" t="s">
        <v>425</v>
      </c>
      <c r="B4" s="52"/>
      <c r="C4" s="50" t="s">
        <v>31</v>
      </c>
    </row>
    <row r="5" spans="1:3" x14ac:dyDescent="0.25">
      <c r="A5" s="52" t="s">
        <v>426</v>
      </c>
      <c r="B5" s="52"/>
      <c r="C5" s="50" t="s">
        <v>427</v>
      </c>
    </row>
    <row r="6" spans="1:3" x14ac:dyDescent="0.25">
      <c r="A6" s="52" t="s">
        <v>428</v>
      </c>
      <c r="B6" s="52" t="s">
        <v>429</v>
      </c>
      <c r="C6" s="50" t="s">
        <v>87</v>
      </c>
    </row>
    <row r="7" spans="1:3" x14ac:dyDescent="0.25">
      <c r="A7" s="52" t="s">
        <v>430</v>
      </c>
      <c r="B7" s="52" t="s">
        <v>431</v>
      </c>
      <c r="C7" s="50" t="s">
        <v>87</v>
      </c>
    </row>
    <row r="8" spans="1:3" x14ac:dyDescent="0.25">
      <c r="A8" s="52" t="s">
        <v>432</v>
      </c>
      <c r="B8" s="52" t="s">
        <v>433</v>
      </c>
      <c r="C8" s="50" t="s">
        <v>101</v>
      </c>
    </row>
    <row r="9" spans="1:3" x14ac:dyDescent="0.25">
      <c r="A9" s="52" t="s">
        <v>434</v>
      </c>
      <c r="B9" s="52"/>
      <c r="C9" s="50"/>
    </row>
    <row r="10" spans="1:3" x14ac:dyDescent="0.25">
      <c r="A10" s="52" t="s">
        <v>435</v>
      </c>
      <c r="B10" s="52" t="s">
        <v>436</v>
      </c>
      <c r="C10" s="50" t="s">
        <v>437</v>
      </c>
    </row>
    <row r="11" spans="1:3" x14ac:dyDescent="0.25">
      <c r="A11" s="52" t="s">
        <v>438</v>
      </c>
      <c r="B11" s="52" t="s">
        <v>439</v>
      </c>
      <c r="C11" s="50" t="s">
        <v>331</v>
      </c>
    </row>
    <row r="12" spans="1:3" x14ac:dyDescent="0.25">
      <c r="A12" s="52" t="s">
        <v>440</v>
      </c>
      <c r="B12" s="52" t="s">
        <v>441</v>
      </c>
      <c r="C12" s="50" t="s">
        <v>331</v>
      </c>
    </row>
    <row r="13" spans="1:3" x14ac:dyDescent="0.25">
      <c r="A13" s="52" t="s">
        <v>442</v>
      </c>
      <c r="B13" s="52" t="s">
        <v>443</v>
      </c>
      <c r="C13" s="50" t="s">
        <v>331</v>
      </c>
    </row>
    <row r="14" spans="1:3" x14ac:dyDescent="0.25">
      <c r="A14" s="52" t="s">
        <v>444</v>
      </c>
      <c r="B14" s="52" t="s">
        <v>445</v>
      </c>
      <c r="C14" s="50" t="s">
        <v>331</v>
      </c>
    </row>
    <row r="15" spans="1:3" x14ac:dyDescent="0.25">
      <c r="A15" s="52" t="s">
        <v>446</v>
      </c>
      <c r="B15" s="52" t="s">
        <v>447</v>
      </c>
      <c r="C15" s="50" t="s">
        <v>331</v>
      </c>
    </row>
    <row r="16" spans="1:3" x14ac:dyDescent="0.25">
      <c r="A16" s="137" t="s">
        <v>321</v>
      </c>
      <c r="B16" s="137" t="s">
        <v>448</v>
      </c>
      <c r="C16" s="139" t="s">
        <v>449</v>
      </c>
    </row>
    <row r="17" spans="1:3" x14ac:dyDescent="0.25">
      <c r="A17" s="137" t="s">
        <v>368</v>
      </c>
      <c r="B17" s="137" t="s">
        <v>330</v>
      </c>
      <c r="C17" s="139" t="s">
        <v>449</v>
      </c>
    </row>
    <row r="18" spans="1:3" x14ac:dyDescent="0.25">
      <c r="A18" s="52" t="s">
        <v>450</v>
      </c>
      <c r="B18" s="52" t="s">
        <v>429</v>
      </c>
      <c r="C18" s="50" t="s">
        <v>87</v>
      </c>
    </row>
    <row r="19" spans="1:3" x14ac:dyDescent="0.25">
      <c r="A19" s="53" t="s">
        <v>451</v>
      </c>
      <c r="B19" s="53" t="s">
        <v>230</v>
      </c>
      <c r="C19" s="51" t="s">
        <v>452</v>
      </c>
    </row>
    <row r="20" spans="1:3" x14ac:dyDescent="0.25">
      <c r="A20" t="s">
        <v>453</v>
      </c>
      <c r="B20" t="s">
        <v>454</v>
      </c>
    </row>
  </sheetData>
  <protectedRanges>
    <protectedRange sqref="A3" name="Range8_3"/>
    <protectedRange sqref="C3" name="Range8_4"/>
    <protectedRange sqref="A4" name="Range8_5"/>
  </protectedRange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x14ac:dyDescent="0.25"/>
  <cols>
    <col min="1" max="1" width="17.85546875" customWidth="1"/>
    <col min="6" max="6" width="14.5703125" customWidth="1"/>
  </cols>
  <sheetData>
    <row r="1" spans="1:9" ht="15.75" thickBot="1" x14ac:dyDescent="0.3">
      <c r="A1" s="135" t="s">
        <v>3</v>
      </c>
      <c r="B1" s="131" t="s">
        <v>455</v>
      </c>
      <c r="C1" s="130" t="s">
        <v>456</v>
      </c>
    </row>
    <row r="2" spans="1:9" x14ac:dyDescent="0.25">
      <c r="A2" s="169">
        <v>46051</v>
      </c>
      <c r="B2" s="170">
        <v>1</v>
      </c>
      <c r="C2" s="170" t="s">
        <v>457</v>
      </c>
      <c r="F2" s="75"/>
      <c r="G2" s="77"/>
      <c r="H2" s="29"/>
      <c r="I2" s="55"/>
    </row>
    <row r="3" spans="1:9" x14ac:dyDescent="0.25">
      <c r="A3" s="171">
        <f>A2+7</f>
        <v>46058</v>
      </c>
      <c r="B3" s="170">
        <f>B2+1</f>
        <v>2</v>
      </c>
      <c r="C3" s="170" t="s">
        <v>327</v>
      </c>
      <c r="F3" s="75"/>
      <c r="G3" s="2"/>
      <c r="H3" s="26"/>
      <c r="I3" s="27"/>
    </row>
    <row r="4" spans="1:9" x14ac:dyDescent="0.25">
      <c r="A4" s="171">
        <f t="shared" ref="A4:A12" si="0">A3+7</f>
        <v>46065</v>
      </c>
      <c r="B4" s="170">
        <f t="shared" ref="B4:B11" si="1">B3+1</f>
        <v>3</v>
      </c>
      <c r="C4" s="170" t="s">
        <v>457</v>
      </c>
      <c r="F4" s="75"/>
      <c r="G4" s="2"/>
      <c r="H4" s="26"/>
      <c r="I4" s="27"/>
    </row>
    <row r="5" spans="1:9" x14ac:dyDescent="0.25">
      <c r="A5" s="171">
        <f t="shared" si="0"/>
        <v>46072</v>
      </c>
      <c r="B5" s="170">
        <f t="shared" si="1"/>
        <v>4</v>
      </c>
      <c r="C5" s="170" t="s">
        <v>327</v>
      </c>
      <c r="F5" s="75"/>
      <c r="G5" s="2"/>
      <c r="H5" s="26"/>
      <c r="I5" s="27"/>
    </row>
    <row r="6" spans="1:9" x14ac:dyDescent="0.25">
      <c r="A6" s="133">
        <f t="shared" si="0"/>
        <v>46079</v>
      </c>
      <c r="B6" s="134">
        <f t="shared" si="1"/>
        <v>5</v>
      </c>
      <c r="C6" s="134" t="s">
        <v>457</v>
      </c>
      <c r="F6" s="75"/>
      <c r="G6" s="2"/>
      <c r="H6" s="26"/>
      <c r="I6" s="27"/>
    </row>
    <row r="7" spans="1:9" x14ac:dyDescent="0.25">
      <c r="A7" s="133">
        <f t="shared" si="0"/>
        <v>46086</v>
      </c>
      <c r="B7" s="134">
        <f t="shared" si="1"/>
        <v>6</v>
      </c>
      <c r="C7" s="134" t="s">
        <v>327</v>
      </c>
      <c r="F7" s="75"/>
      <c r="G7" s="2"/>
      <c r="H7" s="26"/>
      <c r="I7" s="27"/>
    </row>
    <row r="8" spans="1:9" x14ac:dyDescent="0.25">
      <c r="A8" s="133">
        <f t="shared" si="0"/>
        <v>46093</v>
      </c>
      <c r="B8" s="134">
        <f t="shared" si="1"/>
        <v>7</v>
      </c>
      <c r="C8" s="134" t="s">
        <v>458</v>
      </c>
      <c r="F8" s="75"/>
      <c r="G8" s="2"/>
      <c r="H8" s="26"/>
      <c r="I8" s="27"/>
    </row>
    <row r="9" spans="1:9" x14ac:dyDescent="0.25">
      <c r="A9" s="133">
        <f t="shared" si="0"/>
        <v>46100</v>
      </c>
      <c r="B9" s="134">
        <f t="shared" si="1"/>
        <v>8</v>
      </c>
      <c r="C9" s="134" t="s">
        <v>457</v>
      </c>
      <c r="F9" s="75"/>
      <c r="G9" s="2"/>
      <c r="H9" s="26"/>
      <c r="I9" s="27"/>
    </row>
    <row r="10" spans="1:9" x14ac:dyDescent="0.25">
      <c r="A10" s="133">
        <f t="shared" si="0"/>
        <v>46107</v>
      </c>
      <c r="B10" s="134">
        <f t="shared" si="1"/>
        <v>9</v>
      </c>
      <c r="C10" s="134" t="s">
        <v>458</v>
      </c>
      <c r="F10" s="75"/>
      <c r="G10" s="2"/>
      <c r="H10" s="26"/>
      <c r="I10" s="27"/>
    </row>
    <row r="11" spans="1:9" x14ac:dyDescent="0.25">
      <c r="A11" s="133">
        <f t="shared" si="0"/>
        <v>46114</v>
      </c>
      <c r="B11" s="134">
        <f t="shared" si="1"/>
        <v>10</v>
      </c>
      <c r="C11" s="134" t="s">
        <v>457</v>
      </c>
    </row>
    <row r="12" spans="1:9" x14ac:dyDescent="0.25">
      <c r="A12" s="133">
        <f t="shared" si="0"/>
        <v>46121</v>
      </c>
      <c r="B12" s="134">
        <f t="shared" ref="B12:B14" si="2">B11+1</f>
        <v>11</v>
      </c>
      <c r="C12" s="134" t="s">
        <v>457</v>
      </c>
    </row>
    <row r="13" spans="1:9" x14ac:dyDescent="0.25">
      <c r="A13" s="133">
        <f t="shared" ref="A13:A14" si="3">A12+7</f>
        <v>46128</v>
      </c>
      <c r="B13" s="134">
        <f t="shared" si="2"/>
        <v>12</v>
      </c>
      <c r="C13" s="134" t="s">
        <v>457</v>
      </c>
    </row>
    <row r="14" spans="1:9" x14ac:dyDescent="0.25">
      <c r="A14" s="133">
        <f t="shared" si="3"/>
        <v>46135</v>
      </c>
      <c r="B14" s="134">
        <f t="shared" si="2"/>
        <v>13</v>
      </c>
      <c r="C14" s="134" t="s">
        <v>457</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459</v>
      </c>
    </row>
    <row r="3" spans="1:9" ht="18.75" x14ac:dyDescent="0.3">
      <c r="A3" s="79" t="s">
        <v>460</v>
      </c>
    </row>
    <row r="5" spans="1:9" ht="37.5" x14ac:dyDescent="0.25">
      <c r="A5" s="80" t="s">
        <v>3</v>
      </c>
      <c r="B5" s="80" t="s">
        <v>4</v>
      </c>
      <c r="C5" s="80" t="s">
        <v>5</v>
      </c>
      <c r="D5" s="80" t="s">
        <v>137</v>
      </c>
      <c r="E5" s="80" t="s">
        <v>189</v>
      </c>
      <c r="F5" s="80" t="s">
        <v>8</v>
      </c>
      <c r="G5" s="80" t="s">
        <v>9</v>
      </c>
      <c r="H5" s="82" t="s">
        <v>461</v>
      </c>
      <c r="I5" s="81" t="s">
        <v>11</v>
      </c>
    </row>
    <row r="6" spans="1:9" ht="18.75" x14ac:dyDescent="0.3">
      <c r="A6" s="92">
        <v>45694</v>
      </c>
      <c r="B6" s="92" t="s">
        <v>190</v>
      </c>
      <c r="C6" s="92" t="s">
        <v>191</v>
      </c>
      <c r="D6" s="93" t="s">
        <v>278</v>
      </c>
      <c r="E6" s="93">
        <v>2</v>
      </c>
      <c r="F6" s="85" t="s">
        <v>40</v>
      </c>
      <c r="G6" s="85" t="s">
        <v>68</v>
      </c>
      <c r="H6" s="85"/>
      <c r="I6" s="84" t="s">
        <v>328</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407</v>
      </c>
      <c r="E9" s="94">
        <v>8</v>
      </c>
      <c r="F9" s="87" t="s">
        <v>204</v>
      </c>
      <c r="G9" s="87" t="s">
        <v>205</v>
      </c>
      <c r="H9" s="87" t="s">
        <v>206</v>
      </c>
      <c r="I9" s="86" t="s">
        <v>328</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462</v>
      </c>
      <c r="G11" s="87" t="s">
        <v>68</v>
      </c>
      <c r="H11" s="87"/>
      <c r="I11" s="86" t="s">
        <v>328</v>
      </c>
    </row>
    <row r="12" spans="1:9" ht="18.75" x14ac:dyDescent="0.3">
      <c r="A12" s="83">
        <v>45758</v>
      </c>
      <c r="B12" s="83" t="s">
        <v>28</v>
      </c>
      <c r="C12" s="83" t="s">
        <v>209</v>
      </c>
      <c r="D12" s="94" t="s">
        <v>214</v>
      </c>
      <c r="E12" s="94">
        <v>11</v>
      </c>
      <c r="F12" s="87" t="s">
        <v>229</v>
      </c>
      <c r="G12" s="87" t="s">
        <v>172</v>
      </c>
      <c r="H12" s="87" t="s">
        <v>31</v>
      </c>
      <c r="I12" s="86" t="s">
        <v>328</v>
      </c>
    </row>
    <row r="13" spans="1:9" ht="18.75" x14ac:dyDescent="0.3">
      <c r="A13" s="83">
        <v>45764</v>
      </c>
      <c r="B13" s="83" t="s">
        <v>190</v>
      </c>
      <c r="C13" s="83" t="s">
        <v>209</v>
      </c>
      <c r="D13" s="94" t="s">
        <v>278</v>
      </c>
      <c r="E13" s="94">
        <v>12</v>
      </c>
      <c r="F13" s="87" t="s">
        <v>463</v>
      </c>
      <c r="G13" s="87"/>
      <c r="H13" s="87"/>
      <c r="I13" s="86"/>
    </row>
    <row r="14" spans="1:9" ht="18.75" x14ac:dyDescent="0.3">
      <c r="A14" s="88">
        <v>45771</v>
      </c>
      <c r="B14" s="88" t="s">
        <v>190</v>
      </c>
      <c r="C14" s="88" t="s">
        <v>209</v>
      </c>
      <c r="D14" s="95" t="s">
        <v>278</v>
      </c>
      <c r="E14" s="95">
        <v>13</v>
      </c>
      <c r="F14" s="90" t="s">
        <v>464</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Metadata/LabelInfo.xml><?xml version="1.0" encoding="utf-8"?>
<clbl:labelList xmlns:clbl="http://schemas.microsoft.com/office/2020/mipLabelMetadata">
  <clbl:label id="{0084b924-3ab4-4116-9251-9939f695e54c}" enabled="0" method="" siteId="{0084b924-3ab4-4116-9251-9939f695e54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AY2023-2024 Sem 2</vt:lpstr>
      <vt:lpstr>AY2024-2025 Sem 1</vt:lpstr>
      <vt:lpstr>AY2024-2025 Sem 2</vt:lpstr>
      <vt:lpstr>AY2025-2026 Sem 1</vt:lpstr>
      <vt:lpstr>AY2026-2027 Sem 1</vt:lpstr>
      <vt:lpstr>AY2026-2027 Sem 2</vt:lpstr>
      <vt:lpstr>AY2025-2026 Sem 2</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2026-09-25T15:06:36Z</dcterms:modified>
  <cp:category/>
  <cp:contentStatus/>
</cp:coreProperties>
</file>