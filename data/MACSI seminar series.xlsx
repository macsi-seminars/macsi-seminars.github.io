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12"/>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 Seminars/macsi-seminars.github.io/data/"/>
    </mc:Choice>
  </mc:AlternateContent>
  <xr:revisionPtr revIDLastSave="356" documentId="13_ncr:1_{12BE53B5-C8C7-44FE-8280-19C653D9122E}" xr6:coauthVersionLast="47" xr6:coauthVersionMax="47" xr10:uidLastSave="{1BFF16E0-978C-40A1-BCB6-463F79566EF9}"/>
  <bookViews>
    <workbookView xWindow="28680" yWindow="-120" windowWidth="29040" windowHeight="15720" firstSheet="4" activeTab="4" xr2:uid="{00000000-000D-0000-FFFF-FFFF00000000}"/>
  </bookViews>
  <sheets>
    <sheet name="AY2023-2024 Sem 2" sheetId="3" state="hidden" r:id="rId1"/>
    <sheet name="AY2024-2025 Sem 1" sheetId="1" state="hidden" r:id="rId2"/>
    <sheet name="AY2024-2025 Sem 2" sheetId="6" state="hidden" r:id="rId3"/>
    <sheet name="AY2025-2026 Sem 1" sheetId="7" state="hidden" r:id="rId4"/>
    <sheet name="AY2025-2026 Sem 2" sheetId="9" r:id="rId5"/>
    <sheet name="AY2026-2027 Sem 1" sheetId="10" r:id="rId6"/>
    <sheet name="Possbile speaker (reserve list)" sheetId="4" r:id="rId7"/>
    <sheet name="Open dates" sheetId="8" r:id="rId8"/>
    <sheet name="Printed A2002" sheetId="5" state="hidden"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 i="9" l="1"/>
  <c r="D12" i="9"/>
  <c r="A4" i="9"/>
  <c r="A5" i="9"/>
  <c r="D10" i="9"/>
  <c r="C10" i="9"/>
  <c r="E4" i="10"/>
  <c r="E5" i="10"/>
  <c r="E6" i="10"/>
  <c r="E7" i="10"/>
  <c r="A4" i="10"/>
  <c r="D4" i="10"/>
  <c r="D3" i="10"/>
  <c r="C3" i="10"/>
  <c r="C11" i="7"/>
  <c r="D11" i="7"/>
  <c r="A12" i="7"/>
  <c r="D12" i="7"/>
  <c r="D14" i="7"/>
  <c r="C14" i="7"/>
  <c r="D10" i="7"/>
  <c r="D17" i="3"/>
  <c r="D18" i="3"/>
  <c r="D19" i="3"/>
  <c r="D4" i="3"/>
  <c r="D5" i="3"/>
  <c r="D6" i="3"/>
  <c r="D7" i="3"/>
  <c r="D8" i="3"/>
  <c r="D9" i="3"/>
  <c r="D10" i="3"/>
  <c r="D11" i="3"/>
  <c r="D12" i="3"/>
  <c r="D13" i="3"/>
  <c r="D14" i="3"/>
  <c r="D15" i="3"/>
  <c r="D16" i="3"/>
  <c r="D3" i="3"/>
  <c r="D3" i="1"/>
  <c r="D4" i="7"/>
  <c r="C4" i="7"/>
  <c r="C3" i="3"/>
  <c r="C4" i="3"/>
  <c r="C5" i="3"/>
  <c r="C6" i="3"/>
  <c r="C7" i="3"/>
  <c r="C8" i="3"/>
  <c r="C9" i="3"/>
  <c r="C10" i="3"/>
  <c r="D4" i="1"/>
  <c r="D5" i="1"/>
  <c r="D6" i="1"/>
  <c r="D7" i="1"/>
  <c r="D8" i="1"/>
  <c r="D9" i="1"/>
  <c r="D10" i="1"/>
  <c r="D11" i="1"/>
  <c r="D12" i="1"/>
  <c r="D3" i="7"/>
  <c r="C3" i="7"/>
  <c r="E4" i="9"/>
  <c r="E5" i="9"/>
  <c r="E6" i="9"/>
  <c r="E8" i="9"/>
  <c r="D4" i="9"/>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c r="E8" i="7"/>
  <c r="E9" i="7"/>
  <c r="E12" i="7"/>
  <c r="D5" i="7"/>
  <c r="C14" i="6"/>
  <c r="D14" i="6"/>
  <c r="C13" i="6"/>
  <c r="D13" i="6"/>
  <c r="C12" i="6"/>
  <c r="D12" i="6"/>
  <c r="D4" i="6"/>
  <c r="D5" i="6"/>
  <c r="D6" i="6"/>
  <c r="D7" i="6"/>
  <c r="D11" i="6"/>
  <c r="D3" i="6"/>
  <c r="C19" i="3"/>
  <c r="C18" i="3"/>
  <c r="C17" i="3"/>
  <c r="C16" i="3"/>
  <c r="C15" i="3"/>
  <c r="C14" i="3"/>
  <c r="C13" i="3"/>
  <c r="C12" i="3"/>
  <c r="C11" i="3"/>
  <c r="C4" i="1"/>
  <c r="C3" i="1"/>
  <c r="C15" i="7"/>
  <c r="D15" i="7"/>
  <c r="A5" i="10"/>
  <c r="A6" i="10"/>
  <c r="C6" i="10"/>
  <c r="C4" i="10"/>
  <c r="C12" i="7"/>
  <c r="C4" i="9"/>
  <c r="C5" i="1"/>
  <c r="A6" i="9"/>
  <c r="A7" i="9"/>
  <c r="D6" i="10"/>
  <c r="D5" i="10"/>
  <c r="C5" i="10"/>
  <c r="A7" i="10"/>
  <c r="D5" i="9"/>
  <c r="C5" i="9"/>
  <c r="C7" i="10"/>
  <c r="A8" i="10"/>
  <c r="D8" i="10"/>
  <c r="D7" i="10"/>
  <c r="C6" i="1"/>
  <c r="A8" i="9"/>
  <c r="A9" i="9"/>
  <c r="D6" i="9"/>
  <c r="C6" i="9"/>
  <c r="C7" i="1"/>
  <c r="D8" i="9"/>
  <c r="C8" i="9"/>
  <c r="C8" i="1"/>
  <c r="C9" i="1"/>
  <c r="C10" i="1"/>
  <c r="C11" i="1"/>
  <c r="C12" i="1"/>
</calcChain>
</file>

<file path=xl/sharedStrings.xml><?xml version="1.0" encoding="utf-8"?>
<sst xmlns="http://schemas.openxmlformats.org/spreadsheetml/2006/main" count="1019" uniqueCount="420">
  <si>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</si>
  <si>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</si>
  <si>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</si>
  <si>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</si>
  <si>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</si>
  <si>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</si>
  <si>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</si>
  <si>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</si>
  <si>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</si>
  <si>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</si>
  <si>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</si>
  <si>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</si>
  <si>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</si>
  <si>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</si>
  <si>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</si>
  <si>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</si>
  <si>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</si>
  <si>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</si>
  <si>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</si>
  <si>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</si>
  <si>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</si>
  <si>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</si>
  <si>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</si>
  <si>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</si>
  <si>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</si>
  <si>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</si>
  <si>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</si>
  <si>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</si>
  <si>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</si>
  <si>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</si>
  <si>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</si>
  <si>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</si>
  <si>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</si>
  <si>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</si>
  <si>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</si>
  <si>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</si>
  <si>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</si>
  <si>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</si>
  <si>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</si>
  <si>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</si>
  <si>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</si>
  <si>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</si>
  <si>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</si>
  <si>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</si>
  <si>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</si>
  <si>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</si>
  <si>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</si>
  <si>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</si>
  <si>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</si>
  <si>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</si>
  <si>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</si>
  <si>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</si>
  <si>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</si>
  <si>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</si>
  <si>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</si>
  <si>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</si>
  <si>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</si>
  <si>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</si>
  <si>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</si>
  <si>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</si>
  <si>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</si>
  <si>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</si>
  <si>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</si>
  <si>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</si>
  <si>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</si>
  <si>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</si>
  <si>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</si>
  <si>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</si>
  <si>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</si>
  <si>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</si>
  <si>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</si>
  <si>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</si>
  <si>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</si>
  <si>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</si>
  <si>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</si>
  <si>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</si>
  <si>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</si>
  <si>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</si>
  <si>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</si>
  <si>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</si>
  <si>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</si>
  <si>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</si>
  <si>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</si>
  <si>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</si>
  <si>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</si>
  <si>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</si>
  <si>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</si>
  <si>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</si>
  <si>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</si>
  <si>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</si>
  <si>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</si>
  <si>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</si>
  <si>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</si>
  <si>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</si>
  <si>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</si>
  <si>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</si>
  <si>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</si>
  <si>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</si>
  <si>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</si>
  <si>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</si>
  <si>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</si>
  <si>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</si>
  <si>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</si>
  <si>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</si>
  <si>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</si>
  <si>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</si>
  <si>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</si>
  <si>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</si>
  <si>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</si>
  <si>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</si>
  <si>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</si>
  <si>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</si>
  <si>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</si>
  <si>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</si>
  <si>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</si>
  <si>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</si>
  <si>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</si>
  <si>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</si>
  <si>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</si>
  <si>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</si>
  <si>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</si>
  <si>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</si>
  <si>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</si>
  <si>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</si>
  <si>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</si>
  <si>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</si>
  <si>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</si>
  <si>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</si>
  <si>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</si>
  <si>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</si>
  <si>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</si>
  <si>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</si>
  <si>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</si>
  <si>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</si>
  <si>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</si>
  <si>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</si>
  <si>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</si>
  <si>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</si>
  <si>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</si>
  <si>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</si>
  <si>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</si>
  <si>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</si>
  <si>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</si>
  <si>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</si>
  <si>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</si>
  <si>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</si>
  <si>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</si>
  <si>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</si>
  <si>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</si>
  <si>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</si>
  <si>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</si>
  <si>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</si>
  <si>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</si>
  <si>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</si>
  <si>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</si>
  <si>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</si>
  <si>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</si>
  <si>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</si>
  <si>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</si>
  <si>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</si>
  <si>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</si>
  <si>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</si>
  <si>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</si>
  <si>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</si>
  <si>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</si>
  <si>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</si>
  <si>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</si>
  <si>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</si>
  <si>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</si>
  <si>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</si>
  <si>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</si>
  <si>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</si>
  <si>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</si>
  <si>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</si>
  <si>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</si>
  <si>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</si>
  <si>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</si>
  <si>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</si>
  <si>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</si>
  <si>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</si>
  <si>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</si>
  <si>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</si>
  <si>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</si>
  <si>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</si>
  <si>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</si>
  <si>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</si>
  <si>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</si>
  <si>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</si>
  <si>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</si>
  <si>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</si>
  <si>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</si>
  <si>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</si>
  <si>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</si>
  <si>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</si>
  <si>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</si>
  <si>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</si>
  <si>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</si>
  <si>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</si>
  <si>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</si>
  <si>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</si>
  <si>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</si>
  <si>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</si>
  <si>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</si>
  <si>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</si>
  <si>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</si>
  <si>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</si>
  <si>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</si>
  <si>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</si>
  <si>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</si>
  <si>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</si>
  <si>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</si>
  <si>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</si>
  <si>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</si>
  <si>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</si>
  <si>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</si>
  <si>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</si>
  <si>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</si>
  <si>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</si>
  <si>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</si>
  <si>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</si>
  <si>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</si>
  <si>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</si>
  <si>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</si>
  <si>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</si>
  <si>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</si>
  <si>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</si>
  <si>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</si>
  <si>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</si>
  <si>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</si>
  <si>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</si>
  <si>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</si>
  <si>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</si>
  <si>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</si>
  <si>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</si>
  <si>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</si>
  <si>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</si>
  <si>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</si>
  <si>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</si>
  <si>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</si>
  <si>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</si>
  <si>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</si>
  <si>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</si>
  <si>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</si>
  <si>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</si>
  <si>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</si>
  <si>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</si>
  <si>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</si>
  <si>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</si>
  <si>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</si>
  <si>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</si>
  <si>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</si>
  <si>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</si>
  <si>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</si>
  <si>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</si>
  <si>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</si>
  <si>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</si>
  <si>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</si>
  <si>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</si>
  <si>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</si>
  <si>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</si>
  <si>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</si>
  <si>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</si>
  <si>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</si>
  <si>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</si>
  <si>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</si>
  <si>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</si>
  <si>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</si>
  <si>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</si>
  <si>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</si>
  <si>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</si>
  <si>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</si>
  <si>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</si>
  <si>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</si>
  <si>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</si>
  <si>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</si>
  <si>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</si>
  <si>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</si>
  <si>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</si>
  <si>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</si>
  <si>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</si>
  <si>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</si>
  <si>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</si>
  <si>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</si>
  <si>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</si>
  <si>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</si>
  <si>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</si>
  <si>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</si>
  <si>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</si>
  <si>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</si>
  <si>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</si>
  <si>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</si>
  <si>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</si>
  <si>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</si>
  <si>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</si>
  <si>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</si>
  <si>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</si>
  <si>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</si>
  <si>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</si>
  <si>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</si>
  <si>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</si>
  <si>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</si>
  <si>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12:30pm</t>
  </si>
  <si>
    <t xml:space="preserve">Shresh Jain </t>
  </si>
  <si>
    <t>Investigating Material Nonlinearities in Coke Cans and Plastic Holey Columns</t>
  </si>
  <si>
    <t>Most real-world buckling problems, from Coke cans to metamaterials, involve metals or other hard materials that deform plastically. Yet, many studies focus primarily on geometric nonlinearities, often neglecting the material nonlinearities that play a crucial role in determining post-buckling behaviour. In this talk, we examine two systems in which we incorporate these effects through semi-empirical modelling of material nonlinearities: hard holey columns and the sequential ring-buckling of fluid-filled Coke cans.
By including material nonlinearities in our models, we show that intuitive, mechanics-based approaches can successfully capture the complex behaviour observed in the buckling of hard materials.</t>
  </si>
  <si>
    <t>https://orcid.org/0000-0002-8790-7654</t>
  </si>
  <si>
    <t>Alison O'Connor</t>
  </si>
  <si>
    <t>Hip Fractures Trends in Older Adults in Ireland</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</si>
  <si>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</si>
  <si>
    <t>https://scholar.google.com/citations?user=dIpyVmAAAAAJ&amp;hl=en&amp;oi=ao</t>
  </si>
  <si>
    <t>Nov</t>
  </si>
  <si>
    <t>Tuesday</t>
  </si>
  <si>
    <t>Christos Xenophontos</t>
  </si>
  <si>
    <t>University of Cyprus</t>
  </si>
  <si>
    <t>Neural Networks for singular perturbations</t>
  </si>
  <si>
    <t>In this talk we will give an introduction to Neural Networks (NNs) and describe how they can be used for emulating the solution to singularly perturbed problems. In addition, we will present results on the expressivity rate bounds for solution sets of a model class of singularly perturbed, elliptic two-point boundary value problems, in Sobolev norms, on the bounded interval (-1,1). The expression rate bounds in Sobolev norms in terms of the NN size are robust, i.e. uniform with respect to the singular perturbation parameter for several classes of DNN architectures. In particular, ReLU NNs, tanh- and sigmoid-activated NNs. The latter activations can represent “exponential boundary layer solution features” explicitly, in the last hidden layer of the DNN, i.e. in a shallow subnetwork, and afford improved robust expression rate bounds in terms of the NN size.</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</si>
  <si>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</si>
  <si>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</si>
  <si>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</si>
  <si>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</si>
  <si>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</si>
  <si>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</si>
  <si>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</si>
  <si>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</si>
  <si>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Clustering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</si>
  <si>
    <t>https://scholar.google.com/citations?user=d-Wde0EAAAAJ&amp;hl=en</t>
  </si>
  <si>
    <t>https://www.tcd.ie/scss/people/academic-staff/dangelos/ ; https://sites.google.com/view/silviadangelo/home</t>
  </si>
  <si>
    <t>Eoin O’Brien</t>
  </si>
  <si>
    <t>Maynooth University</t>
  </si>
  <si>
    <t>Modelling the evolution of a 3D microbubble in a Jeffrey fluid. </t>
  </si>
  <si>
    <t>Bubbles often appear in non-Newtonian liquids from nature, engineering, to biomedical applications, such as ultrasonic cleaning, targeted drug delivery and non-destructive medical imaging. However, their study has been under researched compared to their Newtonian counterpart, where the introduction of differing geometries and pressure fields can lead to catastrophic and violent collapse, a phenomenon most widely associated with the destruction of all underwater turbines. In this talk, we introduce the underlying physical and numerical models for three-dimensional bubble mechanics and extend the axisymmetric modelling of Lind and Phillips (Lind and Phillips [2010a,b, 2013]) to investigate the effect of “relaxation time” in a Maxwell and Jeffrey fluid on the evolution of a bubble.</t>
  </si>
  <si>
    <t>12am</t>
  </si>
  <si>
    <t>Finn Box</t>
  </si>
  <si>
    <t>Poking Plants</t>
  </si>
  <si>
    <t>Plants are natural feats of engineering and botany a playground of physical phenomena. In this talk, we'll take a walk on the wild side and encounter ripe fruit, a gigantic leaf and an explosive cucumber. I'll describe the bioballistics of seed dispersal, the structural economy of a vasculature network and the cloaking effect of a peel. In doing so, I hope to demonstrate that poking a plant is an effective way of testing its mechanical properties.</t>
  </si>
  <si>
    <t>Philip Pearce</t>
  </si>
  <si>
    <t>University College London</t>
  </si>
  <si>
    <t>Multi-scale modelling of pattern formation in cell populations</t>
  </si>
  <si>
    <t>I will talk about a few projects in which the behaviour of cells affects self-organisation and/or pattern formation on surfaces. First, I will show how cell-fluid interactions affect surface attachment of swimming bacteria in fluid flow. Then, I will show how cell-cell interactions generate emergent fluid-like material properties in cell aggregates, with implications for pattern formation during chemotactic migration.</t>
  </si>
  <si>
    <t>e</t>
  </si>
  <si>
    <t>Email sent to Castltroy park hotel on 13 NOv 2025</t>
  </si>
  <si>
    <t>Leah Keating</t>
  </si>
  <si>
    <t>Loops, not groups: Long cycles are responsible for discontinuous phase transitions in higher-order contagions</t>
  </si>
  <si>
    <t>Discontinuous phase transitions are often observed in the outbreak sizes when we have dynamics on higher-order networks. Here, we consider higher-order networks to be networks with groups. In this talk, we consider complex-contagion dynamics on a network with groups of size two and three. We show that just having groups is insufficient to observe a discontinuous phase transition in the outbreak size, and that longer cycles are required to produce this behaviour. This brings us closer to fully understanding why we sometimes see discontinuous phase transitions in dynamics on higher-order networks where we do not in the dyadic versions of the models.</t>
  </si>
  <si>
    <t>https://arxiv.org/abs/2511.15688</t>
  </si>
  <si>
    <t>https://www.leahkeating.ie/</t>
  </si>
  <si>
    <t>Catherine Higgins</t>
  </si>
  <si>
    <t>Novel approaches for clustering gene expression profiles in temporal and spatial transcriptomics</t>
  </si>
  <si>
    <t>Functional clustering methods group curves without prior knowledge of the underlying clustering structure. A key challenge is class imbalance,where some clusters are significantly larger than others. This leads to smaller clusters being misclassified into larger clusters, resulting in a poor clustering accuracy. While class imbalance is well-studied in supervised classification, it has received limited attention in unsupervised settings.  To address this, we introduce functional iterative hierarchical clustering (funIHC), a novel method for clustering imbalanced one-dimensional functional data.  We demonstrate the effectiveness of funIHC against sixteen leading alternatives.  We extend this methodology to two-dimensional functional data with spatial transcriptomics IHC (stIHC), focusing on clustering spatially variable genes into modules that reflect shared spatial expression patterns. We demonstrate that stIHC outperforms existing clustering methods in spatial transcriptomics. Gene ontology enrichment analysis confirms that both funIHC and stIHC identify biologically coherent and distinct clusters, demonstrating their utility for meaningful clustering in both time and space.</t>
  </si>
  <si>
    <t>https://scholar.google.com/citations?user=ikeLYIMAAAAJ&amp;hl=en</t>
  </si>
  <si>
    <t>https://link.springer.com/article/10.1007/s11634-024-00611-8 ; https://onlinelibrary.wiley.com/doi/10.1002/qub2.70011</t>
  </si>
  <si>
    <t>https://www.linkedin.com/in/catherine-higgins-4b5hg/</t>
  </si>
  <si>
    <t>Stuart Thomson</t>
  </si>
  <si>
    <t>Driven interfacial hydrodynamics, and some physics-informed machine learning</t>
  </si>
  <si>
    <t>In this talk I will present a few topics of recent interest that centre around the theme of “driven interfacial hydrodynamics”: fluid mechanical systems in which droplets and particles are self-propelled through interaction with the environment. I will also present some very recent work on using differentiable physics (a branch of physics-informed machine learning) to determine constitutive relations for highly plasticised metals.</t>
  </si>
  <si>
    <t>Yes already booked</t>
  </si>
  <si>
    <t>Cornelius Fritz</t>
  </si>
  <si>
    <t>Trinity college Dublin</t>
  </si>
  <si>
    <t>Scalable Durational Event Models: Application to Physical and Digital Interactions</t>
  </si>
  <si>
    <t>Durable interactions are ubiquitous in social network analysis and are increasingly observed with precise time stamps. Phone and video calls, for example, are events to which a specific duration can be assigned. We term data encoding interactions with the start and end times “durational event data”. Recent advances in data collection have enabled the observation of such data over extended periods of time and between large populations of actors. Methodologically, we propose the Durational Event Model, an extension of Relational Event Models that decouples the modeling of event incidence from event duration. Computationally, we derive a fast, memory-efficient, and exact block-coordinate ascent algorithm to facilitate large-scale inference. Theoretical complexity analysis and numerical simulations demonstrate computational superiority of this approach over state-of-the-art methods. We apply the model to physical and digital interactions among college students in Copenhagen.  Our empirical findings reveal that past interactions drive physical interactions, whereas digital interactions are influenced predominantly by friendship ties and prior dyadic contact. </t>
  </si>
  <si>
    <t>https://scholar.google.de/citations?user=0X7D4mwAAAAJ&amp;hl=en</t>
  </si>
  <si>
    <t xml:space="preserve">https://arxiv.org/abs/2504.00049 </t>
  </si>
  <si>
    <t>https://www.tcd.ie/scss/people/academic-staff/fritzc/ ; https://www.corneliusfritz.com/about/</t>
  </si>
  <si>
    <t xml:space="preserve">Chris Howland </t>
  </si>
  <si>
    <t>TBC</t>
  </si>
  <si>
    <t>Michel Destrade</t>
  </si>
  <si>
    <t>Carl Scarrott</t>
  </si>
  <si>
    <t>https://scholar.google.com/citations?user=kRgtZZcAAAAJ&amp;hl=en</t>
  </si>
  <si>
    <t xml:space="preserve">https://research.universityofgalway.ie/en/persons/carl-scarrott/ </t>
  </si>
  <si>
    <t>Andrew Keane</t>
  </si>
  <si>
    <t>Open</t>
  </si>
  <si>
    <t>May</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</si>
  <si>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</si>
  <si>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</si>
  <si>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</si>
  <si>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</si>
  <si>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</si>
  <si>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</si>
  <si>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</si>
  <si>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</si>
  <si>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</si>
  <si>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</si>
  <si>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</si>
  <si>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</si>
  <si>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</si>
  <si>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</si>
  <si>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</si>
  <si>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</si>
  <si>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</si>
  <si>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</si>
  <si>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</si>
  <si>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</si>
  <si>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JS</t>
  </si>
  <si>
    <t>Andrew Finlay</t>
  </si>
  <si>
    <t>Uni Michigan</t>
  </si>
  <si>
    <t>Denis Allard</t>
  </si>
  <si>
    <t>INRAE</t>
  </si>
  <si>
    <t>Nicholas J Clark</t>
  </si>
  <si>
    <t>University of Queensland</t>
  </si>
  <si>
    <t>Andrew Zammit Mangion</t>
  </si>
  <si>
    <t>University of Wollongong</t>
  </si>
  <si>
    <t>Trinity</t>
  </si>
  <si>
    <t>DOS</t>
  </si>
  <si>
    <t>UCD</t>
  </si>
  <si>
    <t xml:space="preserve">Paul Weaver </t>
  </si>
  <si>
    <t xml:space="preserve">Suzanne Fielding </t>
  </si>
  <si>
    <t xml:space="preserve">Doireann O'Kiely and Anthony </t>
  </si>
  <si>
    <t>Hassan Alkhayuon</t>
  </si>
  <si>
    <t>UCC</t>
  </si>
  <si>
    <t>Week</t>
  </si>
  <si>
    <t>Speaker</t>
  </si>
  <si>
    <t>Taken</t>
  </si>
  <si>
    <t xml:space="preserve">Taken </t>
  </si>
  <si>
    <t>Seminar Series AY2024-25 Sem 2</t>
  </si>
  <si>
    <t xml:space="preserve">Contact david.osullivan@ul.ie &amp; mehakpreet.singh@ul.ie to book a speaker in. </t>
  </si>
  <si>
    <t>Deptartmental contact</t>
  </si>
  <si>
    <t>Wednesday</t>
  </si>
  <si>
    <t>Robery Garvey</t>
  </si>
  <si>
    <t>Tentative speaker</t>
  </si>
  <si>
    <t>Leornard Henckel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</si>
</sst>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
      <sz val="8"/>
      <name val="Calibri"/>
      <family val="2"/>
      <scheme val="minor"/>
    </font>
    <font>
      <b/>
      <sz val="11"/>
      <color theme="1"/>
      <name val="Calibri"/>
      <family val="2"/>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72">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xf numFmtId="0" fontId="1" fillId="3" borderId="0" xfId="1" applyFill="1"/>
    <xf numFmtId="18" fontId="0" fillId="0" borderId="16" xfId="0" applyNumberFormat="1" applyBorder="1"/>
    <xf numFmtId="49" fontId="0" fillId="3" borderId="0" xfId="0" applyNumberFormat="1" applyFill="1" applyAlignment="1">
      <alignment vertical="top" wrapText="1"/>
    </xf>
    <xf numFmtId="0" fontId="0" fillId="3" borderId="0" xfId="0" applyFill="1" applyAlignment="1">
      <alignment wrapText="1"/>
    </xf>
    <xf numFmtId="164" fontId="11" fillId="0" borderId="1" xfId="0" applyNumberFormat="1" applyFont="1" applyBorder="1"/>
    <xf numFmtId="0" fontId="11" fillId="6" borderId="0" xfId="0" applyFont="1" applyFill="1"/>
    <xf numFmtId="164" fontId="11" fillId="6" borderId="0" xfId="0" applyNumberFormat="1" applyFont="1" applyFill="1"/>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Relationship Id="rId3" Type="http://schemas.openxmlformats.org/officeDocument/2006/relationships/hyperlink" Target="https://scholar.google.com/citations?user=5QMkI0gAAAAJ&amp;hl=en" TargetMode="External"/><Relationship Id="rId7" Type="http://schemas.openxmlformats.org/officeDocument/2006/relationships/hyperlink" Target="https://scholar.google.com/citations?user=yVUdTdUAAAAJ&amp;hl=en" TargetMode="External"/><Relationship Id="rId12" Type="http://schemas.openxmlformats.org/officeDocument/2006/relationships/hyperlink" Target="https://scholar.google.co.uk/citations?user=xupsCdUAAAAJ&amp;hl=en" TargetMode="External"/><Relationship Id="rId2" Type="http://schemas.openxmlformats.org/officeDocument/2006/relationships/hyperlink" Target="https://scholar.google.com/citations?user=MJVJ8pUAAAAJ&amp;hl=en&amp;oi=ao" TargetMode="External"/><Relationship Id="rId1" Type="http://schemas.openxmlformats.org/officeDocument/2006/relationships/hyperlink" Target="https://scholar.google.com/citations?user=fZNoYSMAAAAJ&amp;hl=en" TargetMode="External"/><Relationship Id="rId6" Type="http://schemas.openxmlformats.org/officeDocument/2006/relationships/hyperlink" Target="https://eps.leeds.ac.uk/maths/staff/10606/dr-srikanth-toppaladoddi" TargetMode="External"/><Relationship Id="rId11" Type="http://schemas.openxmlformats.org/officeDocument/2006/relationships/hyperlink" Target="https://scholar.google.com/citations?user=SgSV1gIAAAAJ&amp;hl=en" TargetMode="External"/><Relationship Id="rId5" Type="http://schemas.openxmlformats.org/officeDocument/2006/relationships/hyperlink" Target="https://scholar.google.com.br/citations?user=Ujun714AAAAJ&amp;hl=en" TargetMode="External"/><Relationship Id="rId10" Type="http://schemas.openxmlformats.org/officeDocument/2006/relationships/hyperlink" Target="https://scholar.google.com/citations?user=obekKC8AAAAJ&amp;hl=en" TargetMode="External"/><Relationship Id="rId4" Type="http://schemas.openxmlformats.org/officeDocument/2006/relationships/hyperlink" Target="https://arxiv.org/pdf/2210.02376.pdf" TargetMode="External"/><Relationship Id="rId9" Type="http://schemas.openxmlformats.org/officeDocument/2006/relationships/hyperlink" Target="https://scholar.google.com/citations?user=eoA_1iUAAAAJ&amp;hl=en"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cholar.google.com/citations?user=IsiaqegAAAAJ&amp;hl=en"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scholar.google.co.in/citations?hl=en&amp;user=jUEUMhYAAAAJ&amp;view_op=list_works&amp;sortby=pubda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Relationship Id="rId13" Type="http://schemas.openxmlformats.org/officeDocument/2006/relationships/printerSettings" Target="../printerSettings/printerSettings2.bin"/><Relationship Id="rId3" Type="http://schemas.openxmlformats.org/officeDocument/2006/relationships/hyperlink" Target="https://scholar.google.com/citations?user=j2CypRIAAAAJ&amp;hl=en" TargetMode="External"/><Relationship Id="rId7" Type="http://schemas.openxmlformats.org/officeDocument/2006/relationships/hyperlink" Target="https://scholar.google.com/citations?user=nfeQtPQAAAAJ&amp;hl=pt-BR" TargetMode="External"/><Relationship Id="rId12" Type="http://schemas.openxmlformats.org/officeDocument/2006/relationships/hyperlink" Target="https://scholar.google.com/citations?user=d-Wde0EAAAAJ&amp;hl=en" TargetMode="External"/><Relationship Id="rId2" Type="http://schemas.openxmlformats.org/officeDocument/2006/relationships/hyperlink" Target="https://scholar.google.com/citations?user=Pl9cdEYAAAAJ&amp;hl=en" TargetMode="External"/><Relationship Id="rId1" Type="http://schemas.openxmlformats.org/officeDocument/2006/relationships/hyperlink" Target="https://scholar.google.com/citations?user=N-A7h6EAAAAJ&amp;hl=en" TargetMode="External"/><Relationship Id="rId6" Type="http://schemas.openxmlformats.org/officeDocument/2006/relationships/hyperlink" Target="https://scholar.google.com/citations?user=pglQgmQAAAAJ&amp;hl=en" TargetMode="External"/><Relationship Id="rId11" Type="http://schemas.openxmlformats.org/officeDocument/2006/relationships/hyperlink" Target="https://www.tcd.ie/scss/people/academic-staff/dangelos/%20;%20https:/sites.google.com/view/silviadangelo/home" TargetMode="External"/><Relationship Id="rId5" Type="http://schemas.openxmlformats.org/officeDocument/2006/relationships/hyperlink" Target="https://scholar.google.com/citations?user=cbz4D-gAAAAJ&amp;hl=en" TargetMode="External"/><Relationship Id="rId10" Type="http://schemas.openxmlformats.org/officeDocument/2006/relationships/hyperlink" Target="https://scholar.google.com/citations?user=dIpyVmAAAAAJ&amp;hl=en&amp;oi=ao" TargetMode="External"/><Relationship Id="rId4" Type="http://schemas.openxmlformats.org/officeDocument/2006/relationships/hyperlink" Target="https://scholar.google.com/citations?user=paf72YcAAAAJ&amp;hl=en" TargetMode="External"/><Relationship Id="rId9" Type="http://schemas.openxmlformats.org/officeDocument/2006/relationships/hyperlink" Target="https://www.mathematik.rwth-aachen.de/go/id/bkbg/gguid/0xB6609343D23C3E4C960D1261B2A0493E/ikz/11/allou/1/lidx/1/?mobile=1"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link.springer.com/article/10.1007/s11634-024-00611-8%20;%20https:/onlinelibrary.wiley.com/doi/10.1002/qub2.70011" TargetMode="External"/><Relationship Id="rId3" Type="http://schemas.openxmlformats.org/officeDocument/2006/relationships/hyperlink" Target="https://scholar.google.de/citations?user=0X7D4mwAAAAJ&amp;hl=en" TargetMode="External"/><Relationship Id="rId7" Type="http://schemas.openxmlformats.org/officeDocument/2006/relationships/hyperlink" Target="https://www.linkedin.com/in/catherine-higgins-4b5hg/" TargetMode="External"/><Relationship Id="rId2" Type="http://schemas.openxmlformats.org/officeDocument/2006/relationships/hyperlink" Target="https://www.tcd.ie/scss/people/academic-staff/fritzc/%20;%20https:/www.corneliusfritz.com/about/" TargetMode="External"/><Relationship Id="rId1" Type="http://schemas.openxmlformats.org/officeDocument/2006/relationships/hyperlink" Target="https://arxiv.org/abs/2504.00049" TargetMode="External"/><Relationship Id="rId6" Type="http://schemas.openxmlformats.org/officeDocument/2006/relationships/hyperlink" Target="https://scholar.google.com/citations?user=ikeLYIMAAAAJ&amp;hl=en" TargetMode="External"/><Relationship Id="rId5" Type="http://schemas.openxmlformats.org/officeDocument/2006/relationships/hyperlink" Target="https://scholar.google.com/citations?user=kRgtZZcAAAAJ&amp;hl=en" TargetMode="External"/><Relationship Id="rId10" Type="http://schemas.openxmlformats.org/officeDocument/2006/relationships/hyperlink" Target="https://www.leahkeating.ie/" TargetMode="External"/><Relationship Id="rId4" Type="http://schemas.openxmlformats.org/officeDocument/2006/relationships/hyperlink" Target="https://research.universityofgalway.ie/en/persons/carl-scarrott/" TargetMode="External"/><Relationship Id="rId9" Type="http://schemas.openxmlformats.org/officeDocument/2006/relationships/hyperlink" Target="https://arxiv.org/abs/2511.1568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workbookViewId="0">
      <selection activeCell="K1" sqref="K1"/>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7.75">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8.5" thickBot="1">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c r="A13" s="26"/>
      <c r="B13" s="26"/>
      <c r="C13" s="26"/>
      <c r="D13" s="26"/>
      <c r="I13" s="3"/>
    </row>
    <row r="14" spans="1:25">
      <c r="A14" s="26"/>
      <c r="B14" s="26"/>
      <c r="C14" s="26"/>
      <c r="D14" s="26"/>
    </row>
    <row r="29" spans="1:10">
      <c r="A29" s="61"/>
      <c r="B29" s="61"/>
      <c r="C29" s="61"/>
      <c r="D29" s="61"/>
      <c r="E29" s="61"/>
      <c r="F29" s="61"/>
      <c r="G29" s="61"/>
      <c r="H29" s="61"/>
      <c r="I29" s="61"/>
      <c r="J29" s="61"/>
    </row>
    <row r="31" spans="1:10">
      <c r="A31" s="60"/>
      <c r="B31" s="60"/>
    </row>
    <row r="32" spans="1:10">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cols>
    <col min="1" max="1" width="12.5703125" customWidth="1"/>
    <col min="2" max="2" width="5.85546875" bestFit="1" customWidth="1"/>
    <col min="3" max="3" width="11.140625" customWidth="1"/>
    <col min="4" max="4" width="11" customWidth="1"/>
    <col min="5" max="5" width="9.140625" bestFit="1" customWidth="1"/>
    <col min="6" max="6" width="24.5703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7.75" customHeight="1" thickBot="1">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c r="A15" s="4">
        <v>45805</v>
      </c>
      <c r="B15" s="119" t="s">
        <v>28</v>
      </c>
      <c r="C15" s="125" t="str">
        <f>TEXT(A15,"mmm")</f>
        <v>May</v>
      </c>
      <c r="D15" s="106" t="str">
        <f t="shared" si="1"/>
        <v>Wednesday</v>
      </c>
      <c r="E15">
        <v>18</v>
      </c>
      <c r="F15" t="s">
        <v>248</v>
      </c>
      <c r="G15" t="s">
        <v>152</v>
      </c>
      <c r="H15" t="s">
        <v>101</v>
      </c>
      <c r="I15" t="s">
        <v>249</v>
      </c>
      <c r="J15" s="129" t="s">
        <v>250</v>
      </c>
    </row>
    <row r="16" spans="1:25" ht="15.75" customHeight="1">
      <c r="A16" s="75"/>
    </row>
    <row r="17" spans="1:2">
      <c r="A17" s="26"/>
    </row>
    <row r="18" spans="1:2">
      <c r="A18" s="26"/>
    </row>
    <row r="19" spans="1:2">
      <c r="A19" s="26"/>
    </row>
    <row r="20" spans="1:2">
      <c r="A20" s="75"/>
    </row>
    <row r="21" spans="1:2">
      <c r="A21" s="26"/>
    </row>
    <row r="22" spans="1:2">
      <c r="A22" s="75"/>
    </row>
    <row r="23" spans="1:2">
      <c r="A23" s="26"/>
    </row>
    <row r="24" spans="1:2">
      <c r="A24" s="26"/>
    </row>
    <row r="25" spans="1:2">
      <c r="A25" s="26"/>
    </row>
    <row r="26" spans="1:2">
      <c r="A26" s="26"/>
    </row>
    <row r="27" spans="1:2">
      <c r="A27" s="26"/>
    </row>
    <row r="28" spans="1:2">
      <c r="A28" s="26"/>
    </row>
    <row r="31" spans="1:2">
      <c r="B31" s="60"/>
    </row>
    <row r="32" spans="1:2">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row r="45" spans="1:2">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dimension ref="A1:Y26"/>
  <sheetViews>
    <sheetView workbookViewId="0">
      <pane xSplit="7" ySplit="19" topLeftCell="H20" activePane="bottomRight" state="frozen"/>
      <selection pane="bottomRight" activeCell="H1" sqref="H1"/>
      <selection pane="bottomLeft" activeCell="A17" sqref="A17"/>
      <selection pane="topRight" activeCell="H1" sqref="H1"/>
    </sheetView>
  </sheetViews>
  <sheetFormatPr defaultRowHeight="15"/>
  <cols>
    <col min="1" max="1" width="12.7109375" customWidth="1"/>
    <col min="2" max="2" width="14.5703125" customWidth="1"/>
    <col min="3" max="3" width="20"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7.75">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c r="A8" s="160">
        <v>45953</v>
      </c>
      <c r="B8" s="160" t="s">
        <v>190</v>
      </c>
      <c r="C8" s="160" t="str">
        <f t="shared" ref="C8:C12" si="2">TEXT(A8, "mmm")</f>
        <v>Oct</v>
      </c>
      <c r="D8" s="103" t="str">
        <f t="shared" ref="D8:D12"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ht="15" customHeight="1">
      <c r="A11" s="160">
        <v>45980</v>
      </c>
      <c r="B11" s="160" t="s">
        <v>301</v>
      </c>
      <c r="C11" s="160" t="str">
        <f t="shared" si="2"/>
        <v>Nov</v>
      </c>
      <c r="D11" s="103" t="str">
        <f t="shared" si="3"/>
        <v>Wednesday</v>
      </c>
      <c r="E11" s="103">
        <v>11</v>
      </c>
      <c r="F11" s="107" t="s">
        <v>302</v>
      </c>
      <c r="G11" s="107" t="s">
        <v>269</v>
      </c>
      <c r="H11" s="107" t="s">
        <v>87</v>
      </c>
      <c r="I11" s="167" t="s">
        <v>303</v>
      </c>
      <c r="J11" s="167" t="s">
        <v>304</v>
      </c>
      <c r="K11" s="157"/>
      <c r="L11" s="156"/>
      <c r="M11" s="156" t="s">
        <v>305</v>
      </c>
      <c r="N11" s="14"/>
      <c r="O11" s="35"/>
      <c r="P11" s="14"/>
      <c r="Q11" s="14"/>
      <c r="R11" s="14"/>
      <c r="S11" s="14"/>
      <c r="T11" s="35"/>
      <c r="U11" s="14"/>
      <c r="V11" s="14"/>
      <c r="W11" s="14"/>
      <c r="X11" s="35"/>
      <c r="Y11" s="35"/>
    </row>
    <row r="12" spans="1:25" ht="16.5" customHeight="1">
      <c r="A12" s="160">
        <f>A10+7</f>
        <v>45981</v>
      </c>
      <c r="B12" s="103" t="s">
        <v>190</v>
      </c>
      <c r="C12" s="103" t="str">
        <f t="shared" si="2"/>
        <v>Nov</v>
      </c>
      <c r="D12" s="103" t="str">
        <f t="shared" si="3"/>
        <v>Thursday</v>
      </c>
      <c r="E12" s="103">
        <f>E9+2</f>
        <v>11</v>
      </c>
      <c r="F12" s="158" t="s">
        <v>306</v>
      </c>
      <c r="G12" s="158" t="s">
        <v>68</v>
      </c>
      <c r="H12" s="158" t="s">
        <v>101</v>
      </c>
      <c r="I12" s="158" t="s">
        <v>307</v>
      </c>
      <c r="J12" s="168" t="s">
        <v>308</v>
      </c>
      <c r="K12" s="165" t="s">
        <v>309</v>
      </c>
      <c r="L12" s="158"/>
      <c r="M12" s="158"/>
      <c r="N12" s="158" t="s">
        <v>35</v>
      </c>
      <c r="P12" t="s">
        <v>35</v>
      </c>
      <c r="Q12" t="s">
        <v>258</v>
      </c>
      <c r="U12" t="s">
        <v>71</v>
      </c>
    </row>
    <row r="13" spans="1:25">
      <c r="A13" s="160">
        <v>45986</v>
      </c>
      <c r="B13" s="166" t="s">
        <v>139</v>
      </c>
      <c r="C13" s="103" t="s">
        <v>310</v>
      </c>
      <c r="D13" s="103" t="s">
        <v>311</v>
      </c>
      <c r="E13" s="103">
        <v>12</v>
      </c>
      <c r="F13" t="s">
        <v>312</v>
      </c>
      <c r="G13" s="158" t="s">
        <v>313</v>
      </c>
      <c r="H13" s="158" t="s">
        <v>40</v>
      </c>
      <c r="I13" s="158" t="s">
        <v>314</v>
      </c>
      <c r="J13" s="158" t="s">
        <v>315</v>
      </c>
      <c r="K13" s="165"/>
      <c r="L13" s="158"/>
      <c r="M13" s="158"/>
      <c r="N13" s="158"/>
    </row>
    <row r="14" spans="1:25" ht="15" customHeight="1">
      <c r="A14" s="160">
        <v>45988</v>
      </c>
      <c r="B14" s="160" t="s">
        <v>259</v>
      </c>
      <c r="C14" s="160" t="str">
        <f>TEXT(A14, "mmm")</f>
        <v>Nov</v>
      </c>
      <c r="D14" s="103" t="str">
        <f>TEXT(A14, "dddd")</f>
        <v>Thursday</v>
      </c>
      <c r="E14" s="103">
        <v>12</v>
      </c>
      <c r="F14" s="164" t="s">
        <v>316</v>
      </c>
      <c r="G14" s="107" t="s">
        <v>317</v>
      </c>
      <c r="H14" s="25" t="s">
        <v>211</v>
      </c>
      <c r="I14" s="97" t="s">
        <v>318</v>
      </c>
      <c r="J14" s="97" t="s">
        <v>319</v>
      </c>
      <c r="K14" s="157" t="s">
        <v>320</v>
      </c>
      <c r="L14" s="25"/>
      <c r="M14" s="25"/>
      <c r="N14" s="16" t="s">
        <v>44</v>
      </c>
      <c r="O14" s="35"/>
      <c r="P14" s="5" t="s">
        <v>44</v>
      </c>
      <c r="Q14" s="5"/>
      <c r="R14" s="5"/>
      <c r="S14" s="16"/>
      <c r="T14" s="35"/>
      <c r="U14" s="5"/>
      <c r="V14" s="5"/>
      <c r="W14" s="5"/>
      <c r="X14" s="15"/>
      <c r="Y14" s="13"/>
    </row>
    <row r="15" spans="1:25" ht="15" customHeight="1" thickBot="1">
      <c r="A15" s="161">
        <v>45995</v>
      </c>
      <c r="B15" s="161" t="s">
        <v>190</v>
      </c>
      <c r="C15" s="161" t="str">
        <f>TEXT(A15, "mmm")</f>
        <v>Dec</v>
      </c>
      <c r="D15" s="106" t="str">
        <f>TEXT(A15, "dddd")</f>
        <v>Thursday</v>
      </c>
      <c r="E15" s="106">
        <v>13</v>
      </c>
      <c r="F15" s="164" t="s">
        <v>321</v>
      </c>
      <c r="G15" s="107" t="s">
        <v>322</v>
      </c>
      <c r="H15" s="25" t="s">
        <v>101</v>
      </c>
      <c r="I15" s="97" t="s">
        <v>323</v>
      </c>
      <c r="J15" s="132" t="s">
        <v>324</v>
      </c>
      <c r="K15" s="157" t="s">
        <v>325</v>
      </c>
      <c r="L15" s="25"/>
      <c r="M15" s="31" t="s">
        <v>326</v>
      </c>
      <c r="N15" s="16" t="s">
        <v>44</v>
      </c>
      <c r="O15" s="35"/>
      <c r="P15" s="5" t="s">
        <v>44</v>
      </c>
      <c r="Q15" s="5" t="s">
        <v>64</v>
      </c>
      <c r="R15" s="5"/>
      <c r="S15" s="16"/>
      <c r="T15" s="35" t="s">
        <v>44</v>
      </c>
      <c r="U15" s="5" t="s">
        <v>71</v>
      </c>
      <c r="V15" s="5"/>
      <c r="W15" s="5"/>
      <c r="X15" s="15"/>
      <c r="Y15" s="13"/>
    </row>
    <row r="16" spans="1:25" ht="15" customHeight="1" thickBot="1">
      <c r="A16" s="26"/>
      <c r="B16" s="26"/>
      <c r="C16" s="26"/>
      <c r="X16" s="20"/>
      <c r="Y16" s="18"/>
    </row>
    <row r="17" spans="1:3" ht="15" customHeight="1">
      <c r="A17" s="26"/>
      <c r="B17" s="26"/>
      <c r="C17" s="26"/>
    </row>
    <row r="18" spans="1:3" ht="15" customHeight="1">
      <c r="A18" s="26"/>
      <c r="B18" s="26"/>
      <c r="C18" s="26"/>
    </row>
    <row r="19" spans="1:3" ht="15" customHeight="1">
      <c r="A19" s="26"/>
      <c r="B19" s="26"/>
      <c r="C19" s="26"/>
    </row>
    <row r="20" spans="1:3" ht="15" customHeight="1"/>
    <row r="21" spans="1:3" ht="15" customHeight="1"/>
    <row r="22" spans="1:3" ht="15" customHeight="1"/>
    <row r="23" spans="1:3" ht="15" customHeight="1"/>
    <row r="24" spans="1:3" ht="15" customHeight="1"/>
    <row r="25" spans="1:3" ht="15" customHeight="1"/>
    <row r="26" spans="1:3" ht="15" customHeight="1"/>
  </sheetData>
  <protectedRanges>
    <protectedRange algorithmName="SHA-512" hashValue="pQyTzP/d7t5ThMimBt5mu8gGozgAm1OwF6BMILsn5/kmtZ5mZf81NMi09wwU8mvtItxf0EVNWa6V4MCa0DKeSQ==" saltValue="NzZBiAQ1yFjat+SeIqh2Uw==" spinCount="100000" sqref="A3:E19"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5" name="Range6_1"/>
    <protectedRange algorithmName="SHA-512" hashValue="BKDH3ki5lE3XQdc5qZnIH6o8wW8E0PkHgMZFCkv/XYDEa+b/qenui0oReDIqPDXHceUVJ+rEgU3I9CDBHraDYg==" saltValue="ruXqG4NOhhm7cSLor8wHfw==" spinCount="100000" sqref="O2:O15" name="Range7_1"/>
    <protectedRange sqref="X16:Y16 F3:Y15"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4" r:id="rId7" xr:uid="{22FAA2AA-5C27-49D1-BE58-6994B647E0B0}"/>
    <hyperlink ref="L10" r:id="rId8" xr:uid="{868EB6F0-D226-4BCB-8A71-EF764997CE08}"/>
    <hyperlink ref="M10" r:id="rId9" xr:uid="{294C464E-EF91-4638-871F-055BFBC562A3}"/>
    <hyperlink ref="K12" r:id="rId10" xr:uid="{D6157109-0314-4E19-ABD9-5C3848013F5D}"/>
    <hyperlink ref="M15" r:id="rId11" xr:uid="{D19FB516-A72C-4F26-B04A-D73126013BC5}"/>
    <hyperlink ref="K15" r:id="rId12" xr:uid="{FAA02F49-DD76-40A9-9606-6A1BED9FFDD6}"/>
  </hyperlinks>
  <pageMargins left="0.7" right="0.7" top="0.75" bottom="0.75" header="0.3" footer="0.3"/>
  <pageSetup paperSize="0"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sheetPr>
    <tabColor theme="9"/>
  </sheetPr>
  <dimension ref="A1:Y17"/>
  <sheetViews>
    <sheetView tabSelected="1" topLeftCell="G1" workbookViewId="0">
      <selection activeCell="K11" sqref="K11"/>
    </sheetView>
  </sheetViews>
  <sheetFormatPr defaultRowHeight="15"/>
  <cols>
    <col min="1" max="1" width="12.5703125" customWidth="1"/>
    <col min="2" max="2" width="11.140625" bestFit="1" customWidth="1"/>
    <col min="3" max="3" width="17.140625" customWidth="1"/>
    <col min="4" max="4" width="13.42578125"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7.75">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46051</v>
      </c>
      <c r="B3" s="77" t="s">
        <v>190</v>
      </c>
      <c r="C3" s="29" t="str">
        <f>TEXT(A3, "mmm")</f>
        <v>Jan</v>
      </c>
      <c r="D3" s="55" t="str">
        <f>TEXT(A3, "dddd")</f>
        <v>Thursday</v>
      </c>
      <c r="E3">
        <v>1</v>
      </c>
      <c r="F3" s="16" t="s">
        <v>327</v>
      </c>
      <c r="G3" s="14" t="s">
        <v>328</v>
      </c>
      <c r="H3" s="5" t="s">
        <v>200</v>
      </c>
      <c r="I3" s="98" t="s">
        <v>329</v>
      </c>
      <c r="J3" s="98" t="s">
        <v>330</v>
      </c>
      <c r="K3" s="73"/>
      <c r="L3" s="40"/>
      <c r="M3" s="40"/>
      <c r="N3" s="38"/>
      <c r="O3" s="35"/>
      <c r="P3" s="40"/>
      <c r="Q3" s="40"/>
      <c r="R3" s="40"/>
      <c r="S3" s="38"/>
      <c r="T3" s="35"/>
      <c r="U3" s="40"/>
      <c r="V3" s="40"/>
      <c r="W3" s="40"/>
      <c r="X3" s="46"/>
      <c r="Y3" s="44"/>
    </row>
    <row r="4" spans="1:25" ht="15.75" customHeight="1">
      <c r="A4" s="75">
        <f>A3+12</f>
        <v>46063</v>
      </c>
      <c r="B4" s="2" t="s">
        <v>331</v>
      </c>
      <c r="C4" s="26" t="str">
        <f t="shared" ref="C4:C10" si="0">TEXT(A4, "mmm")</f>
        <v>Feb</v>
      </c>
      <c r="D4" s="27" t="str">
        <f t="shared" ref="D4:D10" si="1">TEXT(A4, "dddd")</f>
        <v>Tuesday</v>
      </c>
      <c r="E4">
        <f>E3+2</f>
        <v>3</v>
      </c>
      <c r="F4" s="16" t="s">
        <v>332</v>
      </c>
      <c r="G4" s="16" t="s">
        <v>269</v>
      </c>
      <c r="H4" s="5" t="s">
        <v>87</v>
      </c>
      <c r="I4" s="98" t="s">
        <v>333</v>
      </c>
      <c r="J4" s="98" t="s">
        <v>334</v>
      </c>
      <c r="K4" s="102"/>
      <c r="L4" s="5"/>
      <c r="M4" s="5"/>
      <c r="N4" s="16"/>
      <c r="O4" s="35"/>
      <c r="P4" s="5"/>
      <c r="Q4" s="5"/>
      <c r="R4" s="5"/>
      <c r="S4" s="16"/>
      <c r="T4" s="35"/>
      <c r="U4" s="5"/>
      <c r="V4" s="5"/>
      <c r="W4" s="5"/>
      <c r="X4" s="15"/>
      <c r="Y4" s="13"/>
    </row>
    <row r="5" spans="1:25" ht="18.75" customHeight="1">
      <c r="A5" s="75">
        <f>A4+16</f>
        <v>46079</v>
      </c>
      <c r="B5" s="2" t="s">
        <v>190</v>
      </c>
      <c r="C5" s="26" t="str">
        <f t="shared" si="0"/>
        <v>Feb</v>
      </c>
      <c r="D5" s="27" t="str">
        <f t="shared" si="1"/>
        <v>Thursday</v>
      </c>
      <c r="E5">
        <f t="shared" ref="E5:E6" si="2">E4+2</f>
        <v>5</v>
      </c>
      <c r="F5" s="16" t="s">
        <v>335</v>
      </c>
      <c r="G5" s="14" t="s">
        <v>336</v>
      </c>
      <c r="H5" s="5" t="s">
        <v>87</v>
      </c>
      <c r="I5" s="98" t="s">
        <v>337</v>
      </c>
      <c r="J5" s="98" t="s">
        <v>338</v>
      </c>
      <c r="K5" s="102"/>
      <c r="L5" s="5"/>
      <c r="M5" s="5"/>
      <c r="N5" s="16"/>
      <c r="O5" s="35" t="s">
        <v>339</v>
      </c>
      <c r="P5" s="5" t="s">
        <v>340</v>
      </c>
      <c r="Q5" s="5"/>
      <c r="R5" s="5"/>
      <c r="S5" s="16"/>
      <c r="T5" s="35"/>
      <c r="U5" s="5"/>
      <c r="V5" s="5"/>
      <c r="W5" s="5"/>
      <c r="X5" s="15"/>
      <c r="Y5" s="13"/>
    </row>
    <row r="6" spans="1:25" ht="15.75" customHeight="1">
      <c r="A6" s="75">
        <f>A5+14</f>
        <v>46093</v>
      </c>
      <c r="B6" s="2" t="s">
        <v>190</v>
      </c>
      <c r="C6" s="26" t="str">
        <f t="shared" si="0"/>
        <v>Mar</v>
      </c>
      <c r="D6" s="27" t="str">
        <f t="shared" si="1"/>
        <v>Thursday</v>
      </c>
      <c r="E6">
        <f t="shared" si="2"/>
        <v>7</v>
      </c>
      <c r="F6" s="16" t="s">
        <v>341</v>
      </c>
      <c r="G6" s="14" t="s">
        <v>152</v>
      </c>
      <c r="H6" s="5" t="s">
        <v>95</v>
      </c>
      <c r="I6" s="98" t="s">
        <v>342</v>
      </c>
      <c r="J6" s="98" t="s">
        <v>343</v>
      </c>
      <c r="K6" s="102"/>
      <c r="L6" s="24" t="s">
        <v>344</v>
      </c>
      <c r="M6" s="24" t="s">
        <v>345</v>
      </c>
      <c r="N6" s="16"/>
      <c r="O6" s="35"/>
      <c r="P6" s="5"/>
      <c r="Q6" s="5"/>
      <c r="R6" s="5"/>
      <c r="S6" s="16"/>
      <c r="T6" s="35"/>
      <c r="U6" s="5"/>
      <c r="V6" s="5"/>
      <c r="W6" s="5"/>
      <c r="X6" s="15"/>
      <c r="Y6" s="13"/>
    </row>
    <row r="7" spans="1:25" ht="15.75" customHeight="1">
      <c r="A7" s="75">
        <f>A6+7</f>
        <v>46100</v>
      </c>
      <c r="B7" s="2" t="s">
        <v>190</v>
      </c>
      <c r="C7" s="26" t="s">
        <v>198</v>
      </c>
      <c r="D7" s="27" t="s">
        <v>278</v>
      </c>
      <c r="E7">
        <v>8</v>
      </c>
      <c r="F7" s="16" t="s">
        <v>346</v>
      </c>
      <c r="G7" s="14" t="s">
        <v>77</v>
      </c>
      <c r="H7" s="5" t="s">
        <v>101</v>
      </c>
      <c r="I7" s="98" t="s">
        <v>347</v>
      </c>
      <c r="J7" s="98" t="s">
        <v>348</v>
      </c>
      <c r="K7" s="102" t="s">
        <v>349</v>
      </c>
      <c r="L7" s="24" t="s">
        <v>350</v>
      </c>
      <c r="M7" s="24" t="s">
        <v>351</v>
      </c>
      <c r="N7" s="16"/>
      <c r="O7" s="35"/>
      <c r="P7" s="5"/>
      <c r="Q7" s="5"/>
      <c r="R7" s="5"/>
      <c r="S7" s="16"/>
      <c r="T7" s="35"/>
      <c r="U7" s="5"/>
      <c r="V7" s="5"/>
      <c r="W7" s="5"/>
      <c r="X7" s="15"/>
      <c r="Y7" s="13"/>
    </row>
    <row r="8" spans="1:25" ht="17.25" customHeight="1">
      <c r="A8" s="75">
        <f>A6+14</f>
        <v>46107</v>
      </c>
      <c r="B8" s="2" t="s">
        <v>190</v>
      </c>
      <c r="C8" s="26" t="str">
        <f t="shared" si="0"/>
        <v>Mar</v>
      </c>
      <c r="D8" s="27" t="str">
        <f t="shared" si="1"/>
        <v>Thursday</v>
      </c>
      <c r="E8">
        <f>E6+2</f>
        <v>9</v>
      </c>
      <c r="F8" s="16" t="s">
        <v>352</v>
      </c>
      <c r="G8" s="14" t="s">
        <v>52</v>
      </c>
      <c r="H8" s="5" t="s">
        <v>87</v>
      </c>
      <c r="I8" s="98" t="s">
        <v>353</v>
      </c>
      <c r="J8" s="98" t="s">
        <v>354</v>
      </c>
      <c r="K8" s="102"/>
      <c r="L8" s="5"/>
      <c r="M8" s="5"/>
      <c r="N8" s="16"/>
      <c r="O8" s="35"/>
      <c r="P8" s="5" t="s">
        <v>355</v>
      </c>
      <c r="Q8" s="5"/>
      <c r="R8" s="5"/>
      <c r="S8" s="16"/>
      <c r="T8" s="35"/>
      <c r="U8" s="5"/>
      <c r="V8" s="5"/>
      <c r="W8" s="5"/>
      <c r="X8" s="15"/>
      <c r="Y8" s="13"/>
    </row>
    <row r="9" spans="1:25" ht="18" customHeight="1">
      <c r="A9" s="75">
        <f>A8+7</f>
        <v>46114</v>
      </c>
      <c r="B9" s="2" t="s">
        <v>190</v>
      </c>
      <c r="C9" s="26" t="s">
        <v>209</v>
      </c>
      <c r="D9" s="27" t="s">
        <v>278</v>
      </c>
      <c r="E9">
        <v>10</v>
      </c>
      <c r="F9" s="16" t="s">
        <v>356</v>
      </c>
      <c r="G9" s="14" t="s">
        <v>357</v>
      </c>
      <c r="H9" s="5" t="s">
        <v>101</v>
      </c>
      <c r="I9" s="98" t="s">
        <v>358</v>
      </c>
      <c r="J9" s="98" t="s">
        <v>359</v>
      </c>
      <c r="K9" s="102" t="s">
        <v>360</v>
      </c>
      <c r="L9" s="24" t="s">
        <v>361</v>
      </c>
      <c r="M9" s="24" t="s">
        <v>362</v>
      </c>
      <c r="N9" s="16"/>
      <c r="O9" s="35"/>
      <c r="P9" s="5"/>
      <c r="Q9" s="5"/>
      <c r="R9" s="5"/>
      <c r="S9" s="16"/>
      <c r="T9" s="35"/>
      <c r="U9" s="5"/>
      <c r="V9" s="5"/>
      <c r="W9" s="5"/>
      <c r="X9" s="15"/>
      <c r="Y9" s="13"/>
    </row>
    <row r="10" spans="1:25">
      <c r="A10" s="75">
        <v>46120</v>
      </c>
      <c r="B10" s="2" t="s">
        <v>190</v>
      </c>
      <c r="C10" s="26" t="str">
        <f t="shared" si="0"/>
        <v>Apr</v>
      </c>
      <c r="D10" s="27" t="str">
        <f t="shared" si="1"/>
        <v>Wednesday</v>
      </c>
      <c r="E10">
        <v>11</v>
      </c>
      <c r="F10" s="16" t="s">
        <v>363</v>
      </c>
      <c r="G10" s="14" t="s">
        <v>77</v>
      </c>
      <c r="H10" s="5" t="s">
        <v>87</v>
      </c>
      <c r="I10" s="98" t="s">
        <v>364</v>
      </c>
      <c r="J10" s="98" t="s">
        <v>364</v>
      </c>
      <c r="K10" s="102"/>
      <c r="L10" s="5"/>
      <c r="M10" s="5"/>
      <c r="N10" s="16"/>
      <c r="O10" s="35"/>
      <c r="P10" s="5"/>
      <c r="Q10" s="5"/>
      <c r="R10" s="5"/>
      <c r="S10" s="16"/>
      <c r="T10" s="35"/>
      <c r="U10" s="5"/>
      <c r="V10" s="5"/>
      <c r="W10" s="5"/>
      <c r="X10" s="15"/>
      <c r="Y10" s="13"/>
    </row>
    <row r="11" spans="1:25">
      <c r="A11" s="75">
        <v>46121</v>
      </c>
      <c r="B11" s="2" t="s">
        <v>331</v>
      </c>
      <c r="C11" s="26" t="s">
        <v>209</v>
      </c>
      <c r="D11" s="27" t="s">
        <v>278</v>
      </c>
      <c r="E11">
        <v>11</v>
      </c>
      <c r="F11" s="16" t="s">
        <v>365</v>
      </c>
      <c r="G11" s="14" t="s">
        <v>195</v>
      </c>
      <c r="H11" s="5" t="s">
        <v>87</v>
      </c>
      <c r="I11" s="98" t="s">
        <v>364</v>
      </c>
      <c r="J11" s="98" t="s">
        <v>364</v>
      </c>
      <c r="K11" s="102"/>
      <c r="L11" s="5"/>
      <c r="M11" s="5"/>
      <c r="N11" s="16"/>
      <c r="O11" s="35"/>
      <c r="P11" s="5"/>
      <c r="Q11" s="5"/>
      <c r="R11" s="5"/>
      <c r="S11" s="16"/>
      <c r="T11" s="35"/>
      <c r="U11" s="5"/>
      <c r="V11" s="5"/>
      <c r="W11" s="5"/>
      <c r="X11" s="15"/>
      <c r="Y11" s="13"/>
    </row>
    <row r="12" spans="1:25">
      <c r="A12" s="75">
        <v>46128</v>
      </c>
      <c r="B12" s="2" t="s">
        <v>190</v>
      </c>
      <c r="C12" s="26" t="str">
        <f t="shared" ref="C12" si="3">TEXT(A12, "mmm")</f>
        <v>Apr</v>
      </c>
      <c r="D12" s="27" t="str">
        <f t="shared" ref="D12" si="4">TEXT(A12, "dddd")</f>
        <v>Thursday</v>
      </c>
      <c r="E12">
        <v>12</v>
      </c>
      <c r="F12" s="16" t="s">
        <v>366</v>
      </c>
      <c r="G12" s="14" t="s">
        <v>195</v>
      </c>
      <c r="H12" s="5" t="s">
        <v>78</v>
      </c>
      <c r="I12" s="98" t="s">
        <v>364</v>
      </c>
      <c r="J12" s="98" t="s">
        <v>364</v>
      </c>
      <c r="K12" s="102" t="s">
        <v>367</v>
      </c>
      <c r="L12" s="5"/>
      <c r="M12" s="24" t="s">
        <v>368</v>
      </c>
      <c r="N12" s="16"/>
      <c r="O12" s="35"/>
      <c r="P12" s="5"/>
      <c r="Q12" s="5"/>
      <c r="R12" s="5"/>
      <c r="S12" s="16"/>
      <c r="T12" s="35"/>
      <c r="U12" s="5"/>
      <c r="V12" s="5"/>
      <c r="W12" s="5"/>
      <c r="X12" s="15"/>
      <c r="Y12" s="13"/>
    </row>
    <row r="13" spans="1:25" ht="18.75" customHeight="1">
      <c r="A13" s="75">
        <v>46135</v>
      </c>
      <c r="B13" s="2" t="s">
        <v>190</v>
      </c>
      <c r="C13" s="26" t="s">
        <v>209</v>
      </c>
      <c r="D13" s="27" t="s">
        <v>278</v>
      </c>
      <c r="E13">
        <v>13</v>
      </c>
      <c r="F13" s="16" t="s">
        <v>369</v>
      </c>
      <c r="G13" s="14" t="s">
        <v>73</v>
      </c>
      <c r="H13" s="5" t="s">
        <v>95</v>
      </c>
      <c r="I13" s="98" t="s">
        <v>364</v>
      </c>
      <c r="J13" s="98" t="s">
        <v>364</v>
      </c>
      <c r="K13" s="102"/>
      <c r="L13" s="5"/>
      <c r="M13" s="5"/>
      <c r="N13" s="16"/>
      <c r="O13" s="35"/>
      <c r="P13" s="5"/>
      <c r="Q13" s="5"/>
      <c r="R13" s="5"/>
      <c r="S13" s="16"/>
      <c r="T13" s="35"/>
      <c r="U13" s="5"/>
      <c r="V13" s="5"/>
      <c r="W13" s="5"/>
      <c r="X13" s="15"/>
      <c r="Y13" s="13"/>
    </row>
    <row r="14" spans="1:25">
      <c r="A14" s="26"/>
      <c r="B14" s="26"/>
      <c r="C14" s="26"/>
      <c r="X14" s="20"/>
      <c r="Y14" s="18"/>
    </row>
    <row r="15" spans="1:25" ht="12.75" customHeight="1">
      <c r="A15" s="26"/>
      <c r="B15" s="26"/>
      <c r="C15" s="26"/>
    </row>
    <row r="16" spans="1:25">
      <c r="A16" s="26"/>
      <c r="B16" s="26"/>
      <c r="C16" s="26"/>
    </row>
    <row r="17" spans="1:3">
      <c r="A17" s="26"/>
      <c r="B17" s="26"/>
      <c r="C17" s="26"/>
    </row>
  </sheetData>
  <protectedRanges>
    <protectedRange algorithmName="SHA-512" hashValue="pQyTzP/d7t5ThMimBt5mu8gGozgAm1OwF6BMILsn5/kmtZ5mZf81NMi09wwU8mvtItxf0EVNWa6V4MCa0DKeSQ==" saltValue="NzZBiAQ1yFjat+SeIqh2Uw==" spinCount="100000" sqref="A3:E17"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13" name="Range6_1"/>
    <protectedRange algorithmName="SHA-512" hashValue="BKDH3ki5lE3XQdc5qZnIH6o8wW8E0PkHgMZFCkv/XYDEa+b/qenui0oReDIqPDXHceUVJ+rEgU3I9CDBHraDYg==" saltValue="ruXqG4NOhhm7cSLor8wHfw==" spinCount="100000" sqref="O2:O13" name="Range7_1"/>
    <protectedRange sqref="X14:Y14 F3:Y13" name="Range8_1"/>
    <protectedRange algorithmName="SHA-512" hashValue="JNB4nrqrfZD45ijUCOmyuk44ibTGOz2xPKKqUb8Fu6IzynfOW0Plt2J4MjvTXFpCm0cEkYqWWfoKwgUFnGztPw==" saltValue="gktf/myRKhBCN9s2pCislA==" spinCount="100000" sqref="M2" name="Range4_1_1"/>
  </protectedRanges>
  <hyperlinks>
    <hyperlink ref="L9" r:id="rId1" xr:uid="{A4F5128F-E5C7-4066-B2E0-72C9A9E730AF}"/>
    <hyperlink ref="M9" r:id="rId2" xr:uid="{58E46CD9-E829-4A89-8A0F-2BA3FCB0FBEC}"/>
    <hyperlink ref="K9" r:id="rId3" xr:uid="{F42BC370-1CFD-46B8-99BD-1F21405A14EB}"/>
    <hyperlink ref="M12" r:id="rId4" xr:uid="{CA8FFAFE-0C05-4395-B597-29714402C65D}"/>
    <hyperlink ref="K12" r:id="rId5" xr:uid="{F2415116-3F84-4CE2-BC5E-AB58A12B487F}"/>
    <hyperlink ref="K7" r:id="rId6" xr:uid="{EEDAB9A6-23C2-44A6-AE32-27763DA4A1D2}"/>
    <hyperlink ref="M7" r:id="rId7" xr:uid="{60F7675F-B0A2-4588-8DBC-226BD313FA08}"/>
    <hyperlink ref="L7" r:id="rId8" xr:uid="{B5519C91-F3AF-4FFA-92F0-015F0993FEC9}"/>
    <hyperlink ref="L6" r:id="rId9" xr:uid="{E20CE4D9-AFC3-FE4E-8238-9CE8FB74EA4B}"/>
    <hyperlink ref="M6" r:id="rId10" xr:uid="{6053315A-23DA-DA4E-9447-0140277816C3}"/>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3E49C-EC2E-42B7-80E4-DD607C0B7A89}">
  <dimension ref="A1:Y13"/>
  <sheetViews>
    <sheetView workbookViewId="0">
      <selection activeCell="F17" sqref="F17"/>
    </sheetView>
  </sheetViews>
  <sheetFormatPr defaultRowHeight="1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ht="15.75" thickBot="1">
      <c r="A1" t="s">
        <v>0</v>
      </c>
      <c r="P1" t="s">
        <v>1</v>
      </c>
      <c r="U1" t="s">
        <v>2</v>
      </c>
    </row>
    <row r="2" spans="1:25" ht="28.5" thickBot="1">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46275</v>
      </c>
      <c r="B3" s="77" t="s">
        <v>190</v>
      </c>
      <c r="C3" s="29" t="str">
        <f>TEXT(A3, "mmm")</f>
        <v>Sep</v>
      </c>
      <c r="D3" s="55" t="str">
        <f>TEXT(A3, "dddd")</f>
        <v>Thursday</v>
      </c>
      <c r="E3">
        <v>1</v>
      </c>
      <c r="F3" s="16" t="s">
        <v>370</v>
      </c>
      <c r="G3" s="14" t="s">
        <v>364</v>
      </c>
      <c r="H3" s="14" t="s">
        <v>364</v>
      </c>
      <c r="I3" s="98" t="s">
        <v>364</v>
      </c>
      <c r="J3" s="98" t="s">
        <v>364</v>
      </c>
      <c r="K3" s="73"/>
      <c r="L3" s="40"/>
      <c r="M3" s="40"/>
      <c r="N3" s="38"/>
      <c r="O3" s="35"/>
      <c r="P3" s="40"/>
      <c r="Q3" s="40"/>
      <c r="R3" s="40"/>
      <c r="S3" s="38"/>
      <c r="T3" s="35"/>
      <c r="U3" s="40"/>
      <c r="V3" s="40"/>
      <c r="W3" s="40"/>
      <c r="X3" s="46"/>
      <c r="Y3" s="44"/>
    </row>
    <row r="4" spans="1:25" ht="15.75" customHeight="1">
      <c r="A4" s="75">
        <f>A3+14</f>
        <v>46289</v>
      </c>
      <c r="B4" s="2" t="s">
        <v>190</v>
      </c>
      <c r="C4" s="26" t="str">
        <f t="shared" ref="C4:C7" si="0">TEXT(A4, "mmm")</f>
        <v>Sep</v>
      </c>
      <c r="D4" s="27" t="str">
        <f t="shared" ref="D4:D8" si="1">TEXT(A4, "dddd")</f>
        <v>Thursday</v>
      </c>
      <c r="E4">
        <f>E3+2</f>
        <v>3</v>
      </c>
      <c r="F4" s="16" t="s">
        <v>370</v>
      </c>
      <c r="G4" s="14" t="s">
        <v>364</v>
      </c>
      <c r="H4" s="5" t="s">
        <v>364</v>
      </c>
      <c r="I4" s="98" t="s">
        <v>364</v>
      </c>
      <c r="J4" s="98" t="s">
        <v>364</v>
      </c>
      <c r="K4" s="102"/>
      <c r="L4" s="5"/>
      <c r="M4" s="5"/>
      <c r="N4" s="16"/>
      <c r="O4" s="35"/>
      <c r="P4" s="5"/>
      <c r="Q4" s="5"/>
      <c r="R4" s="5"/>
      <c r="S4" s="16"/>
      <c r="T4" s="35"/>
      <c r="U4" s="5"/>
      <c r="V4" s="5"/>
      <c r="W4" s="5"/>
      <c r="X4" s="15"/>
      <c r="Y4" s="13"/>
    </row>
    <row r="5" spans="1:25">
      <c r="A5" s="75">
        <f t="shared" ref="A5" si="2">A4+14</f>
        <v>46303</v>
      </c>
      <c r="B5" s="2" t="s">
        <v>190</v>
      </c>
      <c r="C5" s="26" t="str">
        <f t="shared" si="0"/>
        <v>Oct</v>
      </c>
      <c r="D5" s="27" t="str">
        <f t="shared" si="1"/>
        <v>Thursday</v>
      </c>
      <c r="E5">
        <f t="shared" ref="E5:E6" si="3">E4+2</f>
        <v>5</v>
      </c>
      <c r="F5" s="16" t="s">
        <v>370</v>
      </c>
      <c r="G5" s="14" t="s">
        <v>364</v>
      </c>
      <c r="H5" s="14" t="s">
        <v>364</v>
      </c>
      <c r="I5" s="98" t="s">
        <v>364</v>
      </c>
      <c r="J5" s="98" t="s">
        <v>364</v>
      </c>
      <c r="K5" s="102"/>
      <c r="L5" s="5"/>
      <c r="M5" s="5"/>
      <c r="N5" s="16"/>
      <c r="O5" s="35" t="s">
        <v>339</v>
      </c>
      <c r="P5" s="5" t="s">
        <v>340</v>
      </c>
      <c r="Q5" s="5"/>
      <c r="R5" s="5"/>
      <c r="S5" s="16"/>
      <c r="T5" s="35"/>
      <c r="U5" s="5"/>
      <c r="V5" s="5"/>
      <c r="W5" s="5"/>
      <c r="X5" s="15"/>
      <c r="Y5" s="13"/>
    </row>
    <row r="6" spans="1:25" ht="15.75" customHeight="1">
      <c r="A6" s="75">
        <f>A5+14</f>
        <v>46317</v>
      </c>
      <c r="B6" s="2" t="s">
        <v>190</v>
      </c>
      <c r="C6" s="26" t="str">
        <f t="shared" si="0"/>
        <v>Oct</v>
      </c>
      <c r="D6" s="27" t="str">
        <f t="shared" si="1"/>
        <v>Thursday</v>
      </c>
      <c r="E6">
        <f t="shared" si="3"/>
        <v>7</v>
      </c>
      <c r="F6" s="16" t="s">
        <v>370</v>
      </c>
      <c r="G6" s="14" t="s">
        <v>364</v>
      </c>
      <c r="H6" s="14" t="s">
        <v>364</v>
      </c>
      <c r="I6" s="98" t="s">
        <v>364</v>
      </c>
      <c r="J6" s="98" t="s">
        <v>364</v>
      </c>
      <c r="K6" s="102"/>
      <c r="L6" s="5"/>
      <c r="M6" s="5"/>
      <c r="N6" s="16"/>
      <c r="O6" s="35"/>
      <c r="P6" s="5"/>
      <c r="Q6" s="5"/>
      <c r="R6" s="5"/>
      <c r="S6" s="16"/>
      <c r="T6" s="35"/>
      <c r="U6" s="5"/>
      <c r="V6" s="5"/>
      <c r="W6" s="5"/>
      <c r="X6" s="15"/>
      <c r="Y6" s="13"/>
    </row>
    <row r="7" spans="1:25">
      <c r="A7" s="75">
        <f>A6+14</f>
        <v>46331</v>
      </c>
      <c r="B7" s="2" t="s">
        <v>190</v>
      </c>
      <c r="C7" s="26" t="str">
        <f t="shared" si="0"/>
        <v>Nov</v>
      </c>
      <c r="D7" s="27" t="str">
        <f t="shared" si="1"/>
        <v>Thursday</v>
      </c>
      <c r="E7">
        <f>E6+2</f>
        <v>9</v>
      </c>
      <c r="F7" s="16" t="s">
        <v>370</v>
      </c>
      <c r="G7" s="14" t="s">
        <v>364</v>
      </c>
      <c r="H7" s="14" t="s">
        <v>364</v>
      </c>
      <c r="I7" s="98" t="s">
        <v>364</v>
      </c>
      <c r="J7" s="98" t="s">
        <v>364</v>
      </c>
      <c r="K7" s="102"/>
      <c r="L7" s="5"/>
      <c r="M7" s="5"/>
      <c r="N7" s="16"/>
      <c r="O7" s="35"/>
      <c r="P7" s="5"/>
      <c r="Q7" s="5"/>
      <c r="R7" s="5"/>
      <c r="S7" s="16"/>
      <c r="T7" s="35"/>
      <c r="U7" s="5"/>
      <c r="V7" s="5"/>
      <c r="W7" s="5"/>
      <c r="X7" s="15"/>
      <c r="Y7" s="13"/>
    </row>
    <row r="8" spans="1:25">
      <c r="A8" s="75">
        <f>A7+14</f>
        <v>46345</v>
      </c>
      <c r="B8" s="2" t="s">
        <v>190</v>
      </c>
      <c r="C8" s="26" t="s">
        <v>209</v>
      </c>
      <c r="D8" s="27" t="str">
        <f t="shared" si="1"/>
        <v>Thursday</v>
      </c>
      <c r="E8">
        <v>11</v>
      </c>
      <c r="F8" s="16" t="s">
        <v>370</v>
      </c>
      <c r="G8" s="14" t="s">
        <v>364</v>
      </c>
      <c r="H8" s="14" t="s">
        <v>364</v>
      </c>
      <c r="I8" s="98" t="s">
        <v>364</v>
      </c>
      <c r="J8" s="98" t="s">
        <v>364</v>
      </c>
      <c r="K8" s="102"/>
      <c r="L8" s="5"/>
      <c r="M8" s="5"/>
      <c r="N8" s="16"/>
      <c r="O8" s="35"/>
      <c r="P8" s="5"/>
      <c r="Q8" s="5"/>
      <c r="R8" s="5"/>
      <c r="S8" s="16"/>
      <c r="T8" s="35"/>
      <c r="U8" s="5"/>
      <c r="V8" s="5"/>
      <c r="W8" s="5"/>
      <c r="X8" s="15"/>
      <c r="Y8" s="13"/>
    </row>
    <row r="9" spans="1:25" ht="18.75" customHeight="1">
      <c r="A9" s="75">
        <v>46121</v>
      </c>
      <c r="B9" s="2" t="s">
        <v>190</v>
      </c>
      <c r="C9" s="26" t="s">
        <v>371</v>
      </c>
      <c r="D9" s="27" t="s">
        <v>278</v>
      </c>
      <c r="E9">
        <v>13</v>
      </c>
      <c r="F9" s="16" t="s">
        <v>370</v>
      </c>
      <c r="G9" s="14" t="s">
        <v>364</v>
      </c>
      <c r="H9" s="14" t="s">
        <v>364</v>
      </c>
      <c r="I9" s="98" t="s">
        <v>364</v>
      </c>
      <c r="J9" s="98" t="s">
        <v>364</v>
      </c>
      <c r="K9" s="102"/>
      <c r="L9" s="5"/>
      <c r="M9" s="5"/>
      <c r="N9" s="16"/>
      <c r="O9" s="35"/>
      <c r="P9" s="5"/>
      <c r="Q9" s="5"/>
      <c r="R9" s="5"/>
      <c r="S9" s="16"/>
      <c r="T9" s="35"/>
      <c r="U9" s="5"/>
      <c r="V9" s="5"/>
      <c r="W9" s="5"/>
      <c r="X9" s="15"/>
      <c r="Y9" s="13"/>
    </row>
    <row r="10" spans="1:25" ht="15.75" thickBot="1">
      <c r="A10" s="26"/>
      <c r="B10" s="26"/>
      <c r="C10" s="26"/>
      <c r="X10" s="20"/>
      <c r="Y10" s="18"/>
    </row>
    <row r="11" spans="1:25" ht="12.75" customHeight="1">
      <c r="A11" s="26"/>
      <c r="B11" s="26"/>
      <c r="C11" s="26"/>
    </row>
    <row r="12" spans="1:25">
      <c r="A12" s="26"/>
      <c r="B12" s="26"/>
      <c r="C12" s="26"/>
    </row>
    <row r="13" spans="1:25">
      <c r="A13" s="26"/>
      <c r="B13" s="26"/>
      <c r="C13" s="26"/>
    </row>
  </sheetData>
  <protectedRanges>
    <protectedRange algorithmName="SHA-512" hashValue="pQyTzP/d7t5ThMimBt5mu8gGozgAm1OwF6BMILsn5/kmtZ5mZf81NMi09wwU8mvtItxf0EVNWa6V4MCa0DKeSQ==" saltValue="NzZBiAQ1yFjat+SeIqh2Uw==" spinCount="100000" sqref="A3:E13"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9" name="Range6_1"/>
    <protectedRange algorithmName="SHA-512" hashValue="BKDH3ki5lE3XQdc5qZnIH6o8wW8E0PkHgMZFCkv/XYDEa+b/qenui0oReDIqPDXHceUVJ+rEgU3I9CDBHraDYg==" saltValue="ruXqG4NOhhm7cSLor8wHfw==" spinCount="100000" sqref="O2:O9" name="Range7_1"/>
    <protectedRange sqref="X10:Y10 F3:Y9" name="Range8_1"/>
    <protectedRange algorithmName="SHA-512" hashValue="JNB4nrqrfZD45ijUCOmyuk44ibTGOz2xPKKqUb8Fu6IzynfOW0Plt2J4MjvTXFpCm0cEkYqWWfoKwgUFnGztPw==" saltValue="gktf/myRKhBCN9s2pCislA==" spinCount="100000" sqref="M2" name="Range4_1_1"/>
  </protectedRanges>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20"/>
  <sheetViews>
    <sheetView workbookViewId="0">
      <selection activeCell="A23" sqref="A23:C25"/>
    </sheetView>
  </sheetViews>
  <sheetFormatPr defaultRowHeight="15"/>
  <cols>
    <col min="1" max="1" width="31.28515625" customWidth="1"/>
    <col min="2" max="2" width="26" customWidth="1"/>
    <col min="3" max="3" width="20.140625" customWidth="1"/>
  </cols>
  <sheetData>
    <row r="1" spans="1:3">
      <c r="A1" t="s">
        <v>372</v>
      </c>
    </row>
    <row r="2" spans="1:3">
      <c r="A2" s="55" t="s">
        <v>373</v>
      </c>
      <c r="B2" s="54" t="s">
        <v>374</v>
      </c>
      <c r="C2" s="54" t="s">
        <v>375</v>
      </c>
    </row>
    <row r="3" spans="1:3">
      <c r="A3" s="136" t="s">
        <v>376</v>
      </c>
      <c r="B3" s="137"/>
      <c r="C3" s="138" t="s">
        <v>224</v>
      </c>
    </row>
    <row r="4" spans="1:3">
      <c r="A4" s="5" t="s">
        <v>377</v>
      </c>
      <c r="B4" s="52"/>
      <c r="C4" s="50" t="s">
        <v>31</v>
      </c>
    </row>
    <row r="5" spans="1:3">
      <c r="A5" s="52" t="s">
        <v>378</v>
      </c>
      <c r="B5" s="52"/>
      <c r="C5" s="50" t="s">
        <v>379</v>
      </c>
    </row>
    <row r="6" spans="1:3">
      <c r="A6" s="52" t="s">
        <v>380</v>
      </c>
      <c r="B6" s="52" t="s">
        <v>381</v>
      </c>
      <c r="C6" s="50" t="s">
        <v>87</v>
      </c>
    </row>
    <row r="7" spans="1:3">
      <c r="A7" s="52" t="s">
        <v>382</v>
      </c>
      <c r="B7" s="52" t="s">
        <v>383</v>
      </c>
      <c r="C7" s="50" t="s">
        <v>87</v>
      </c>
    </row>
    <row r="8" spans="1:3">
      <c r="A8" s="52" t="s">
        <v>384</v>
      </c>
      <c r="B8" s="52" t="s">
        <v>385</v>
      </c>
      <c r="C8" s="50" t="s">
        <v>101</v>
      </c>
    </row>
    <row r="9" spans="1:3">
      <c r="A9" s="52" t="s">
        <v>386</v>
      </c>
      <c r="B9" s="52"/>
      <c r="C9" s="50"/>
    </row>
    <row r="10" spans="1:3">
      <c r="A10" s="52" t="s">
        <v>387</v>
      </c>
      <c r="B10" s="52" t="s">
        <v>388</v>
      </c>
      <c r="C10" s="50" t="s">
        <v>389</v>
      </c>
    </row>
    <row r="11" spans="1:3">
      <c r="A11" s="52" t="s">
        <v>390</v>
      </c>
      <c r="B11" s="52" t="s">
        <v>391</v>
      </c>
      <c r="C11" s="50" t="s">
        <v>392</v>
      </c>
    </row>
    <row r="12" spans="1:3">
      <c r="A12" s="52" t="s">
        <v>393</v>
      </c>
      <c r="B12" s="52" t="s">
        <v>394</v>
      </c>
      <c r="C12" s="50" t="s">
        <v>392</v>
      </c>
    </row>
    <row r="13" spans="1:3">
      <c r="A13" s="52" t="s">
        <v>395</v>
      </c>
      <c r="B13" s="52" t="s">
        <v>396</v>
      </c>
      <c r="C13" s="50" t="s">
        <v>392</v>
      </c>
    </row>
    <row r="14" spans="1:3">
      <c r="A14" s="52" t="s">
        <v>397</v>
      </c>
      <c r="B14" s="52" t="s">
        <v>398</v>
      </c>
      <c r="C14" s="50" t="s">
        <v>392</v>
      </c>
    </row>
    <row r="15" spans="1:3">
      <c r="A15" s="52" t="s">
        <v>399</v>
      </c>
      <c r="B15" s="52" t="s">
        <v>400</v>
      </c>
      <c r="C15" s="50" t="s">
        <v>392</v>
      </c>
    </row>
    <row r="16" spans="1:3">
      <c r="A16" s="137" t="s">
        <v>321</v>
      </c>
      <c r="B16" s="137" t="s">
        <v>401</v>
      </c>
      <c r="C16" s="139" t="s">
        <v>402</v>
      </c>
    </row>
    <row r="17" spans="1:3">
      <c r="A17" s="137" t="s">
        <v>346</v>
      </c>
      <c r="B17" s="137" t="s">
        <v>403</v>
      </c>
      <c r="C17" s="139" t="s">
        <v>402</v>
      </c>
    </row>
    <row r="18" spans="1:3">
      <c r="A18" s="52" t="s">
        <v>404</v>
      </c>
      <c r="B18" s="52" t="s">
        <v>381</v>
      </c>
      <c r="C18" s="50" t="s">
        <v>87</v>
      </c>
    </row>
    <row r="19" spans="1:3">
      <c r="A19" s="53" t="s">
        <v>405</v>
      </c>
      <c r="B19" s="53" t="s">
        <v>230</v>
      </c>
      <c r="C19" s="51" t="s">
        <v>406</v>
      </c>
    </row>
    <row r="20" spans="1:3">
      <c r="A20" t="s">
        <v>407</v>
      </c>
      <c r="B20" t="s">
        <v>408</v>
      </c>
    </row>
  </sheetData>
  <protectedRanges>
    <protectedRange sqref="A3" name="Range8_3"/>
    <protectedRange sqref="C3" name="Range8_4"/>
    <protectedRange sqref="A4" name="Range8_5"/>
  </protectedRange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I16"/>
  <sheetViews>
    <sheetView workbookViewId="0">
      <selection activeCell="C13" sqref="C13"/>
    </sheetView>
  </sheetViews>
  <sheetFormatPr defaultRowHeight="15"/>
  <cols>
    <col min="1" max="1" width="17.85546875" customWidth="1"/>
    <col min="6" max="6" width="14.5703125" customWidth="1"/>
  </cols>
  <sheetData>
    <row r="1" spans="1:9" ht="15.75" thickBot="1">
      <c r="A1" s="135" t="s">
        <v>3</v>
      </c>
      <c r="B1" s="131" t="s">
        <v>409</v>
      </c>
      <c r="C1" s="130" t="s">
        <v>410</v>
      </c>
    </row>
    <row r="2" spans="1:9">
      <c r="A2" s="169">
        <v>46051</v>
      </c>
      <c r="B2" s="170">
        <v>1</v>
      </c>
      <c r="C2" s="170" t="s">
        <v>411</v>
      </c>
      <c r="F2" s="75"/>
      <c r="G2" s="77"/>
      <c r="H2" s="29"/>
      <c r="I2" s="55"/>
    </row>
    <row r="3" spans="1:9">
      <c r="A3" s="171">
        <f>A2+7</f>
        <v>46058</v>
      </c>
      <c r="B3" s="170">
        <f>B2+1</f>
        <v>2</v>
      </c>
      <c r="C3" s="170" t="s">
        <v>370</v>
      </c>
      <c r="F3" s="75"/>
      <c r="G3" s="2"/>
      <c r="H3" s="26"/>
      <c r="I3" s="27"/>
    </row>
    <row r="4" spans="1:9">
      <c r="A4" s="171">
        <f t="shared" ref="A4:A12" si="0">A3+7</f>
        <v>46065</v>
      </c>
      <c r="B4" s="170">
        <f t="shared" ref="B4:B11" si="1">B3+1</f>
        <v>3</v>
      </c>
      <c r="C4" s="170" t="s">
        <v>411</v>
      </c>
      <c r="F4" s="75"/>
      <c r="G4" s="2"/>
      <c r="H4" s="26"/>
      <c r="I4" s="27"/>
    </row>
    <row r="5" spans="1:9">
      <c r="A5" s="171">
        <f t="shared" si="0"/>
        <v>46072</v>
      </c>
      <c r="B5" s="170">
        <f t="shared" si="1"/>
        <v>4</v>
      </c>
      <c r="C5" s="170" t="s">
        <v>370</v>
      </c>
      <c r="F5" s="75"/>
      <c r="G5" s="2"/>
      <c r="H5" s="26"/>
      <c r="I5" s="27"/>
    </row>
    <row r="6" spans="1:9">
      <c r="A6" s="133">
        <f t="shared" si="0"/>
        <v>46079</v>
      </c>
      <c r="B6" s="134">
        <f t="shared" si="1"/>
        <v>5</v>
      </c>
      <c r="C6" s="134" t="s">
        <v>411</v>
      </c>
      <c r="F6" s="75"/>
      <c r="G6" s="2"/>
      <c r="H6" s="26"/>
      <c r="I6" s="27"/>
    </row>
    <row r="7" spans="1:9">
      <c r="A7" s="133">
        <f t="shared" si="0"/>
        <v>46086</v>
      </c>
      <c r="B7" s="134">
        <f t="shared" si="1"/>
        <v>6</v>
      </c>
      <c r="C7" s="134" t="s">
        <v>370</v>
      </c>
      <c r="F7" s="75"/>
      <c r="G7" s="2"/>
      <c r="H7" s="26"/>
      <c r="I7" s="27"/>
    </row>
    <row r="8" spans="1:9">
      <c r="A8" s="133">
        <f t="shared" si="0"/>
        <v>46093</v>
      </c>
      <c r="B8" s="134">
        <f t="shared" si="1"/>
        <v>7</v>
      </c>
      <c r="C8" s="134" t="s">
        <v>412</v>
      </c>
      <c r="F8" s="75"/>
      <c r="G8" s="2"/>
      <c r="H8" s="26"/>
      <c r="I8" s="27"/>
    </row>
    <row r="9" spans="1:9">
      <c r="A9" s="133">
        <f t="shared" si="0"/>
        <v>46100</v>
      </c>
      <c r="B9" s="134">
        <f t="shared" si="1"/>
        <v>8</v>
      </c>
      <c r="C9" s="134" t="s">
        <v>411</v>
      </c>
      <c r="F9" s="75"/>
      <c r="G9" s="2"/>
      <c r="H9" s="26"/>
      <c r="I9" s="27"/>
    </row>
    <row r="10" spans="1:9">
      <c r="A10" s="133">
        <f t="shared" si="0"/>
        <v>46107</v>
      </c>
      <c r="B10" s="134">
        <f t="shared" si="1"/>
        <v>9</v>
      </c>
      <c r="C10" s="134" t="s">
        <v>412</v>
      </c>
      <c r="F10" s="75"/>
      <c r="G10" s="2"/>
      <c r="H10" s="26"/>
      <c r="I10" s="27"/>
    </row>
    <row r="11" spans="1:9">
      <c r="A11" s="133">
        <f t="shared" si="0"/>
        <v>46114</v>
      </c>
      <c r="B11" s="134">
        <f t="shared" si="1"/>
        <v>10</v>
      </c>
      <c r="C11" s="134" t="s">
        <v>411</v>
      </c>
    </row>
    <row r="12" spans="1:9">
      <c r="A12" s="133">
        <f t="shared" si="0"/>
        <v>46121</v>
      </c>
      <c r="B12" s="134">
        <f t="shared" ref="B12:B14" si="2">B11+1</f>
        <v>11</v>
      </c>
      <c r="C12" s="134" t="s">
        <v>411</v>
      </c>
    </row>
    <row r="13" spans="1:9">
      <c r="A13" s="133">
        <f t="shared" ref="A13:A14" si="3">A12+7</f>
        <v>46128</v>
      </c>
      <c r="B13" s="134">
        <f t="shared" si="2"/>
        <v>12</v>
      </c>
      <c r="C13" s="134" t="s">
        <v>411</v>
      </c>
    </row>
    <row r="14" spans="1:9">
      <c r="A14" s="133">
        <f t="shared" si="3"/>
        <v>46135</v>
      </c>
      <c r="B14" s="134">
        <f t="shared" si="2"/>
        <v>13</v>
      </c>
      <c r="C14" s="134" t="s">
        <v>411</v>
      </c>
    </row>
    <row r="15" spans="1:9">
      <c r="A15" s="133"/>
      <c r="B15" s="134"/>
      <c r="C15" s="134"/>
    </row>
    <row r="16" spans="1:9">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9:J10" name="Range3_1"/>
    <protectedRange algorithmName="SHA-512" hashValue="pQyTzP/d7t5ThMimBt5mu8gGozgAm1OwF6BMILsn5/kmtZ5mZf81NMi09wwU8mvtItxf0EVNWa6V4MCa0DKeSQ==" saltValue="NzZBiAQ1yFjat+SeIqh2Uw==" spinCount="100000" sqref="F2:J8 A2" name="Range3_1_1"/>
  </protectedRanges>
  <conditionalFormatting sqref="B2:C2 A3:C14">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cols>
    <col min="1" max="1" width="16.42578125" customWidth="1"/>
    <col min="2" max="2" width="9.140625" customWidth="1"/>
    <col min="3" max="3" width="14.7109375" customWidth="1"/>
    <col min="4" max="4" width="14.140625" bestFit="1" customWidth="1"/>
    <col min="6" max="6" width="24.7109375" customWidth="1"/>
    <col min="7" max="7" width="38.140625" bestFit="1" customWidth="1"/>
    <col min="8" max="8" width="22.42578125" customWidth="1"/>
    <col min="9" max="9" width="64.7109375" bestFit="1" customWidth="1"/>
  </cols>
  <sheetData>
    <row r="2" spans="1:9" ht="23.25">
      <c r="A2" s="91" t="s">
        <v>413</v>
      </c>
    </row>
    <row r="3" spans="1:9" ht="18.75">
      <c r="A3" s="79" t="s">
        <v>414</v>
      </c>
    </row>
    <row r="5" spans="1:9" ht="35.25">
      <c r="A5" s="80" t="s">
        <v>3</v>
      </c>
      <c r="B5" s="80" t="s">
        <v>4</v>
      </c>
      <c r="C5" s="80" t="s">
        <v>5</v>
      </c>
      <c r="D5" s="80" t="s">
        <v>137</v>
      </c>
      <c r="E5" s="80" t="s">
        <v>189</v>
      </c>
      <c r="F5" s="80" t="s">
        <v>8</v>
      </c>
      <c r="G5" s="80" t="s">
        <v>9</v>
      </c>
      <c r="H5" s="82" t="s">
        <v>415</v>
      </c>
      <c r="I5" s="81" t="s">
        <v>11</v>
      </c>
    </row>
    <row r="6" spans="1:9" ht="18.75">
      <c r="A6" s="92">
        <v>45694</v>
      </c>
      <c r="B6" s="92" t="s">
        <v>190</v>
      </c>
      <c r="C6" s="92" t="s">
        <v>191</v>
      </c>
      <c r="D6" s="93" t="s">
        <v>278</v>
      </c>
      <c r="E6" s="93">
        <v>2</v>
      </c>
      <c r="F6" s="85" t="s">
        <v>40</v>
      </c>
      <c r="G6" s="85" t="s">
        <v>68</v>
      </c>
      <c r="H6" s="85"/>
      <c r="I6" s="84" t="s">
        <v>364</v>
      </c>
    </row>
    <row r="7" spans="1:9" ht="18.75">
      <c r="A7" s="83">
        <v>45708</v>
      </c>
      <c r="B7" s="83" t="s">
        <v>190</v>
      </c>
      <c r="C7" s="83" t="s">
        <v>191</v>
      </c>
      <c r="D7" s="94" t="s">
        <v>278</v>
      </c>
      <c r="E7" s="94">
        <v>4</v>
      </c>
      <c r="F7" s="87" t="s">
        <v>194</v>
      </c>
      <c r="G7" s="87" t="s">
        <v>195</v>
      </c>
      <c r="H7" s="87" t="s">
        <v>78</v>
      </c>
      <c r="I7" s="86" t="s">
        <v>196</v>
      </c>
    </row>
    <row r="8" spans="1:9" ht="18.75">
      <c r="A8" s="83">
        <v>45722</v>
      </c>
      <c r="B8" s="83" t="s">
        <v>190</v>
      </c>
      <c r="C8" s="83" t="s">
        <v>198</v>
      </c>
      <c r="D8" s="94" t="s">
        <v>278</v>
      </c>
      <c r="E8" s="94">
        <v>6</v>
      </c>
      <c r="F8" s="87" t="s">
        <v>199</v>
      </c>
      <c r="G8" s="87" t="s">
        <v>68</v>
      </c>
      <c r="H8" s="87" t="s">
        <v>200</v>
      </c>
      <c r="I8" s="86"/>
    </row>
    <row r="9" spans="1:9" ht="18.75">
      <c r="A9" s="83">
        <v>45735</v>
      </c>
      <c r="B9" s="83" t="s">
        <v>139</v>
      </c>
      <c r="C9" s="83" t="s">
        <v>198</v>
      </c>
      <c r="D9" s="94" t="s">
        <v>416</v>
      </c>
      <c r="E9" s="94">
        <v>8</v>
      </c>
      <c r="F9" s="87" t="s">
        <v>204</v>
      </c>
      <c r="G9" s="87" t="s">
        <v>205</v>
      </c>
      <c r="H9" s="87" t="s">
        <v>206</v>
      </c>
      <c r="I9" s="86" t="s">
        <v>364</v>
      </c>
    </row>
    <row r="10" spans="1:9" ht="18.75">
      <c r="A10" s="83">
        <v>45744</v>
      </c>
      <c r="B10" s="83" t="s">
        <v>190</v>
      </c>
      <c r="C10" s="83" t="s">
        <v>198</v>
      </c>
      <c r="D10" s="94" t="s">
        <v>214</v>
      </c>
      <c r="E10" s="94">
        <v>9</v>
      </c>
      <c r="F10" s="87" t="s">
        <v>222</v>
      </c>
      <c r="G10" s="87" t="s">
        <v>223</v>
      </c>
      <c r="H10" s="87" t="s">
        <v>224</v>
      </c>
      <c r="I10" s="86"/>
    </row>
    <row r="11" spans="1:9" ht="18.75">
      <c r="A11" s="83">
        <v>45750</v>
      </c>
      <c r="B11" s="83" t="s">
        <v>190</v>
      </c>
      <c r="C11" s="83" t="s">
        <v>209</v>
      </c>
      <c r="D11" s="94" t="s">
        <v>278</v>
      </c>
      <c r="E11" s="94">
        <v>10</v>
      </c>
      <c r="F11" s="87" t="s">
        <v>417</v>
      </c>
      <c r="G11" s="87" t="s">
        <v>68</v>
      </c>
      <c r="H11" s="87"/>
      <c r="I11" s="86" t="s">
        <v>364</v>
      </c>
    </row>
    <row r="12" spans="1:9" ht="18.75">
      <c r="A12" s="83">
        <v>45758</v>
      </c>
      <c r="B12" s="83" t="s">
        <v>28</v>
      </c>
      <c r="C12" s="83" t="s">
        <v>209</v>
      </c>
      <c r="D12" s="94" t="s">
        <v>214</v>
      </c>
      <c r="E12" s="94">
        <v>11</v>
      </c>
      <c r="F12" s="87" t="s">
        <v>229</v>
      </c>
      <c r="G12" s="87" t="s">
        <v>172</v>
      </c>
      <c r="H12" s="87" t="s">
        <v>31</v>
      </c>
      <c r="I12" s="86" t="s">
        <v>364</v>
      </c>
    </row>
    <row r="13" spans="1:9" ht="18.75">
      <c r="A13" s="83">
        <v>45764</v>
      </c>
      <c r="B13" s="83" t="s">
        <v>190</v>
      </c>
      <c r="C13" s="83" t="s">
        <v>209</v>
      </c>
      <c r="D13" s="94" t="s">
        <v>278</v>
      </c>
      <c r="E13" s="94">
        <v>12</v>
      </c>
      <c r="F13" s="87" t="s">
        <v>418</v>
      </c>
      <c r="G13" s="87"/>
      <c r="H13" s="87"/>
      <c r="I13" s="86"/>
    </row>
    <row r="14" spans="1:9" ht="18.75">
      <c r="A14" s="88">
        <v>45771</v>
      </c>
      <c r="B14" s="88" t="s">
        <v>190</v>
      </c>
      <c r="C14" s="88" t="s">
        <v>209</v>
      </c>
      <c r="D14" s="95" t="s">
        <v>278</v>
      </c>
      <c r="E14" s="95">
        <v>13</v>
      </c>
      <c r="F14" s="90" t="s">
        <v>419</v>
      </c>
      <c r="G14" s="90" t="s">
        <v>77</v>
      </c>
      <c r="H14" s="90" t="s">
        <v>124</v>
      </c>
      <c r="I14" s="89" t="s">
        <v>239</v>
      </c>
    </row>
    <row r="20" spans="8:8" ht="18.75">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David.OSullivan</cp:lastModifiedBy>
  <cp:revision/>
  <dcterms:created xsi:type="dcterms:W3CDTF">2023-10-17T13:23:06Z</dcterms:created>
  <dcterms:modified xsi:type="dcterms:W3CDTF">2026-03-20T12:26:16Z</dcterms:modified>
  <cp:category/>
  <cp:contentStatus/>
</cp:coreProperties>
</file>