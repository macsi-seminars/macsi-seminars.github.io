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205" documentId="13_ncr:1_{12BE53B5-C8C7-44FE-8280-19C653D9122E}" xr6:coauthVersionLast="47" xr6:coauthVersionMax="47" xr10:uidLastSave="{CE0A9811-82EC-4ABD-8C4F-18C7B139EAEB}"/>
  <bookViews>
    <workbookView xWindow="-2892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9" l="1"/>
  <c r="C8"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5" i="9"/>
  <c r="A6" i="9" s="1"/>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<sst xmlns="http://schemas.openxmlformats.org/spreadsheetml/2006/main" count="994" uniqueCount="390">
  <si>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</si>
  <si>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</si>
  <si>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</si>
  <si>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</si>
  <si>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</si>
  <si>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</si>
  <si>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</si>
  <si>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</si>
  <si>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</si>
  <si>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</si>
  <si>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</si>
  <si>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</si>
  <si>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</si>
  <si>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</si>
  <si>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</si>
  <si>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</si>
  <si>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</si>
  <si>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</si>
  <si>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</si>
  <si>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</si>
  <si>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</si>
  <si>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</si>
  <si>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</si>
  <si>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</si>
  <si>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</si>
  <si>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</si>
  <si>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</si>
  <si>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</si>
  <si>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</si>
  <si>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</si>
  <si>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</si>
  <si>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</si>
  <si>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</si>
  <si>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</si>
  <si>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</si>
  <si>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</si>
  <si>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</si>
  <si>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</si>
  <si>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</si>
  <si>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</si>
  <si>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</si>
  <si>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</si>
  <si>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</si>
  <si>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</si>
  <si>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</si>
  <si>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</si>
  <si>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</si>
  <si>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</si>
  <si>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</si>
  <si>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</si>
  <si>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</si>
  <si>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</si>
  <si>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</si>
  <si>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</si>
  <si>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</si>
  <si>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</si>
  <si>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</si>
  <si>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</si>
  <si>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</si>
  <si>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</si>
  <si>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</si>
  <si>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</si>
  <si>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</si>
  <si>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</si>
  <si>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</si>
  <si>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</si>
  <si>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</si>
  <si>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</si>
  <si>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</si>
  <si>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</si>
  <si>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</si>
  <si>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</si>
  <si>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</si>
  <si>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</si>
  <si>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</si>
  <si>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</si>
  <si>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</si>
  <si>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</si>
  <si>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</si>
  <si>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</si>
  <si>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</si>
  <si>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</si>
  <si>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</si>
  <si>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</si>
  <si>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</si>
  <si>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</si>
  <si>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</si>
  <si>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</si>
  <si>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</si>
  <si>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</si>
  <si>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</si>
  <si>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</si>
  <si>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</si>
  <si>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</si>
  <si>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</si>
  <si>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</si>
  <si>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</si>
  <si>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</si>
  <si>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</si>
  <si>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</si>
  <si>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</si>
  <si>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</si>
  <si>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</si>
  <si>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</si>
  <si>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</si>
  <si>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</si>
  <si>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</si>
  <si>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</si>
  <si>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</si>
  <si>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</si>
  <si>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</si>
  <si>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</si>
  <si>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</si>
  <si>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</si>
  <si>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</si>
  <si>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</si>
  <si>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</si>
  <si>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</si>
  <si>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</si>
  <si>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</si>
  <si>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</si>
  <si>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</si>
  <si>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</si>
  <si>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</si>
  <si>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</si>
  <si>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</si>
  <si>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</si>
  <si>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</si>
  <si>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</si>
  <si>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</si>
  <si>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</si>
  <si>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</si>
  <si>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</si>
  <si>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</si>
  <si>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</si>
  <si>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</si>
  <si>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</si>
  <si>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</si>
  <si>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</si>
  <si>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</si>
  <si>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</si>
  <si>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</si>
  <si>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</si>
  <si>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</si>
  <si>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</si>
  <si>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</si>
  <si>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</si>
  <si>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</si>
  <si>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</si>
  <si>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</si>
  <si>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</si>
  <si>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</si>
  <si>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</si>
  <si>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</si>
  <si>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</si>
  <si>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</si>
  <si>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</si>
  <si>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</si>
  <si>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</si>
  <si>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</si>
  <si>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</si>
  <si>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</si>
  <si>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</si>
  <si>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</si>
  <si>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</si>
  <si>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</si>
  <si>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</si>
  <si>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</si>
  <si>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</si>
  <si>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</si>
  <si>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</si>
  <si>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</si>
  <si>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</si>
  <si>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</si>
  <si>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</si>
  <si>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</si>
  <si>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</si>
  <si>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</si>
  <si>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</si>
  <si>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</si>
  <si>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</si>
  <si>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</si>
  <si>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</si>
  <si>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</si>
  <si>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</si>
  <si>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</si>
  <si>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</si>
  <si>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</si>
  <si>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</si>
  <si>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</si>
  <si>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</si>
  <si>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</si>
  <si>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</si>
  <si>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</si>
  <si>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</si>
  <si>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</si>
  <si>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</si>
  <si>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</si>
  <si>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</si>
  <si>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</si>
  <si>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</si>
  <si>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</si>
  <si>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</si>
  <si>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</si>
  <si>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</si>
  <si>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</si>
  <si>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</si>
  <si>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</si>
  <si>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</si>
  <si>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</si>
  <si>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</si>
  <si>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</si>
  <si>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</si>
  <si>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</si>
  <si>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</si>
  <si>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</si>
  <si>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</si>
  <si>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</si>
  <si>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</si>
  <si>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</si>
  <si>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</si>
  <si>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</si>
  <si>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</si>
  <si>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</si>
  <si>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</si>
  <si>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</si>
  <si>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</si>
  <si>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</si>
  <si>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</si>
  <si>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</si>
  <si>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</si>
  <si>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</si>
  <si>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</si>
  <si>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</si>
  <si>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</si>
  <si>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</si>
  <si>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</si>
  <si>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</si>
  <si>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</si>
  <si>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</si>
  <si>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</si>
  <si>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</si>
  <si>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</si>
  <si>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</si>
  <si>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</si>
  <si>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</si>
  <si>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</si>
  <si>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</si>
  <si>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</si>
  <si>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</si>
  <si>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</si>
  <si>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</si>
  <si>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</si>
  <si>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</si>
  <si>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</si>
  <si>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</si>
  <si>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</si>
  <si>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</si>
  <si>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</si>
  <si>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</si>
  <si>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</si>
  <si>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</si>
  <si>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</si>
  <si>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</si>
  <si>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</si>
  <si>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</si>
  <si>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</si>
  <si>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</si>
  <si>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</si>
  <si>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</si>
  <si>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</si>
  <si>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</si>
  <si>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</si>
  <si>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</si>
  <si>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</si>
  <si>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</si>
  <si>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</si>
  <si>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</si>
  <si>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</si>
  <si>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</si>
  <si>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</si>
  <si>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</si>
  <si>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</si>
  <si>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</si>
  <si>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</si>
  <si>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</si>
  <si>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</si>
  <si>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</si>
  <si>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</si>
  <si>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</si>
  <si>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</si>
  <si>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</si>
  <si>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</si>
  <si>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</si>
  <si>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</si>
  <si>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</si>
  <si>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</si>
  <si>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</si>
  <si>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</si>
  <si>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</si>
  <si>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</si>
  <si>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</si>
  <si>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</si>
  <si>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</si>
  <si>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</si>
  <si>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</si>
  <si>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</si>
  <si>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</si>
  <si>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</si>
  <si>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</si>
  <si>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</si>
  <si>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</si>
  <si>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</si>
  <si>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</si>
  <si>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</si>
  <si>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</si>
  <si>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</si>
  <si>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</si>
  <si>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</si>
  <si>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</si>
  <si>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</si>
  <si>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</si>
  <si>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</si>
  <si>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</si>
  <si>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</si>
  <si>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</si>
  <si>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</si>
  <si>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</si>
  <si>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</si>
  <si>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</si>
  <si>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</si>
  <si>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Open</t>
  </si>
  <si>
    <t>TBC</t>
  </si>
  <si>
    <t>Philip Pearce</t>
  </si>
  <si>
    <t>University College London</t>
  </si>
  <si>
    <t>e</t>
  </si>
  <si>
    <t>Email sent to Castltroy park hotel on 13 NOv 2025</t>
  </si>
  <si>
    <t>Leah Keating</t>
  </si>
  <si>
    <t>Stuart Thomson</t>
  </si>
  <si>
    <t xml:space="preserve">Chris Howland </t>
  </si>
  <si>
    <t>Andrew Keane</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</si>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</sst>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C2" workbookViewId="0">
      <selection activeCell="J3" sqref="J3"/>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331</v>
      </c>
      <c r="G4" s="14" t="s">
        <v>332</v>
      </c>
      <c r="H4" s="5" t="s">
        <v>332</v>
      </c>
      <c r="I4" s="98" t="s">
        <v>332</v>
      </c>
      <c r="J4" s="98" t="s">
        <v>332</v>
      </c>
      <c r="K4" s="102"/>
      <c r="L4" s="5"/>
      <c r="M4" s="5"/>
      <c r="N4" s="16"/>
      <c r="O4" s="35"/>
      <c r="P4" s="5"/>
      <c r="Q4" s="5"/>
      <c r="R4" s="5"/>
      <c r="S4" s="16"/>
      <c r="T4" s="35"/>
      <c r="U4" s="5"/>
      <c r="V4" s="5"/>
      <c r="W4" s="5"/>
      <c r="X4" s="15"/>
      <c r="Y4" s="13"/>
    </row>
    <row r="5" spans="1:25">
      <c r="A5" s="75">
        <f t="shared" ref="A5" si="2">A4+14</f>
        <v>46079</v>
      </c>
      <c r="B5" s="2" t="s">
        <v>190</v>
      </c>
      <c r="C5" s="26" t="str">
        <f t="shared" si="0"/>
        <v>Feb</v>
      </c>
      <c r="D5" s="27" t="str">
        <f t="shared" si="1"/>
        <v>Thursday</v>
      </c>
      <c r="E5">
        <f t="shared" ref="E5:E6" si="3">E4+2</f>
        <v>5</v>
      </c>
      <c r="F5" s="16" t="s">
        <v>333</v>
      </c>
      <c r="G5" s="14" t="s">
        <v>334</v>
      </c>
      <c r="H5" s="5" t="s">
        <v>87</v>
      </c>
      <c r="I5" s="98" t="s">
        <v>332</v>
      </c>
      <c r="J5" s="98" t="s">
        <v>332</v>
      </c>
      <c r="K5" s="102"/>
      <c r="L5" s="5"/>
      <c r="M5" s="5"/>
      <c r="N5" s="16"/>
      <c r="O5" s="35" t="s">
        <v>335</v>
      </c>
      <c r="P5" s="5" t="s">
        <v>336</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337</v>
      </c>
      <c r="G6" s="14" t="s">
        <v>152</v>
      </c>
      <c r="H6" s="5" t="s">
        <v>95</v>
      </c>
      <c r="I6" s="98" t="s">
        <v>332</v>
      </c>
      <c r="J6" s="98" t="s">
        <v>332</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338</v>
      </c>
      <c r="G7" s="14" t="s">
        <v>52</v>
      </c>
      <c r="H7" s="5" t="s">
        <v>87</v>
      </c>
      <c r="I7" s="98" t="s">
        <v>332</v>
      </c>
      <c r="J7" s="98" t="s">
        <v>332</v>
      </c>
      <c r="K7" s="102"/>
      <c r="L7" s="5"/>
      <c r="M7" s="5"/>
      <c r="N7" s="16"/>
      <c r="O7" s="35"/>
      <c r="P7" s="5"/>
      <c r="Q7" s="5"/>
      <c r="R7" s="5"/>
      <c r="S7" s="16"/>
      <c r="T7" s="35"/>
      <c r="U7" s="5"/>
      <c r="V7" s="5"/>
      <c r="W7" s="5"/>
      <c r="X7" s="15"/>
      <c r="Y7" s="13"/>
    </row>
    <row r="8" spans="1:25">
      <c r="A8" s="75">
        <v>46120</v>
      </c>
      <c r="B8" s="2" t="s">
        <v>190</v>
      </c>
      <c r="C8" s="26" t="str">
        <f t="shared" si="0"/>
        <v>Apr</v>
      </c>
      <c r="D8" s="27" t="str">
        <f t="shared" si="1"/>
        <v>Wednesday</v>
      </c>
      <c r="E8">
        <v>11</v>
      </c>
      <c r="F8" s="16" t="s">
        <v>339</v>
      </c>
      <c r="G8" s="14" t="s">
        <v>77</v>
      </c>
      <c r="H8" s="5" t="s">
        <v>87</v>
      </c>
      <c r="I8" s="98" t="s">
        <v>332</v>
      </c>
      <c r="J8" s="98" t="s">
        <v>332</v>
      </c>
      <c r="K8" s="102"/>
      <c r="L8" s="5"/>
      <c r="M8" s="5"/>
      <c r="N8" s="16"/>
      <c r="O8" s="35"/>
      <c r="P8" s="5"/>
      <c r="Q8" s="5"/>
      <c r="R8" s="5"/>
      <c r="S8" s="16"/>
      <c r="T8" s="35"/>
      <c r="U8" s="5"/>
      <c r="V8" s="5"/>
      <c r="W8" s="5"/>
      <c r="X8" s="15"/>
      <c r="Y8" s="13"/>
    </row>
    <row r="9" spans="1:25" ht="18.75" customHeight="1">
      <c r="A9" s="75">
        <v>46135</v>
      </c>
      <c r="B9" s="2" t="s">
        <v>190</v>
      </c>
      <c r="C9" s="26" t="s">
        <v>209</v>
      </c>
      <c r="D9" s="27" t="s">
        <v>278</v>
      </c>
      <c r="E9">
        <v>13</v>
      </c>
      <c r="F9" s="16" t="s">
        <v>340</v>
      </c>
      <c r="G9" s="14" t="s">
        <v>73</v>
      </c>
      <c r="H9" s="5" t="s">
        <v>95</v>
      </c>
      <c r="I9" s="98" t="s">
        <v>332</v>
      </c>
      <c r="J9" s="98" t="s">
        <v>332</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331</v>
      </c>
      <c r="G3" s="14" t="s">
        <v>332</v>
      </c>
      <c r="H3" s="14" t="s">
        <v>332</v>
      </c>
      <c r="I3" s="98" t="s">
        <v>332</v>
      </c>
      <c r="J3" s="98" t="s">
        <v>332</v>
      </c>
      <c r="K3" s="73"/>
      <c r="L3" s="40"/>
      <c r="M3" s="40"/>
      <c r="N3" s="38"/>
      <c r="O3" s="35"/>
      <c r="P3" s="40"/>
      <c r="Q3" s="40"/>
      <c r="R3" s="40"/>
      <c r="S3" s="38"/>
      <c r="T3" s="35"/>
      <c r="U3" s="40"/>
      <c r="V3" s="40"/>
      <c r="W3" s="40"/>
      <c r="X3" s="46"/>
      <c r="Y3" s="44"/>
    </row>
    <row r="4" spans="1:25" ht="15.75" customHeight="1">
      <c r="A4" s="75">
        <f>A3+14</f>
        <v>46289</v>
      </c>
      <c r="B4" s="2" t="s">
        <v>190</v>
      </c>
      <c r="C4" s="26" t="str">
        <f t="shared" ref="C4:C9" si="0">TEXT(A4, "mmm")</f>
        <v>Sep</v>
      </c>
      <c r="D4" s="27" t="str">
        <f t="shared" ref="D4:D9" si="1">TEXT(A4, "dddd")</f>
        <v>Thursday</v>
      </c>
      <c r="E4">
        <f>E3+2</f>
        <v>3</v>
      </c>
      <c r="F4" s="16" t="s">
        <v>331</v>
      </c>
      <c r="G4" s="14" t="s">
        <v>332</v>
      </c>
      <c r="H4" s="5" t="s">
        <v>332</v>
      </c>
      <c r="I4" s="98" t="s">
        <v>332</v>
      </c>
      <c r="J4" s="98" t="s">
        <v>332</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331</v>
      </c>
      <c r="G5" s="14" t="s">
        <v>332</v>
      </c>
      <c r="H5" s="14" t="s">
        <v>332</v>
      </c>
      <c r="I5" s="98" t="s">
        <v>332</v>
      </c>
      <c r="J5" s="98" t="s">
        <v>332</v>
      </c>
      <c r="K5" s="102"/>
      <c r="L5" s="5"/>
      <c r="M5" s="5"/>
      <c r="N5" s="16"/>
      <c r="O5" s="35" t="s">
        <v>335</v>
      </c>
      <c r="P5" s="5" t="s">
        <v>336</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331</v>
      </c>
      <c r="G6" s="14" t="s">
        <v>332</v>
      </c>
      <c r="H6" s="14" t="s">
        <v>332</v>
      </c>
      <c r="I6" s="98" t="s">
        <v>332</v>
      </c>
      <c r="J6" s="98" t="s">
        <v>332</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331</v>
      </c>
      <c r="G7" s="14" t="s">
        <v>332</v>
      </c>
      <c r="H7" s="14" t="s">
        <v>332</v>
      </c>
      <c r="I7" s="98" t="s">
        <v>332</v>
      </c>
      <c r="J7" s="98" t="s">
        <v>332</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331</v>
      </c>
      <c r="G8" s="14" t="s">
        <v>332</v>
      </c>
      <c r="H8" s="14" t="s">
        <v>332</v>
      </c>
      <c r="I8" s="98" t="s">
        <v>332</v>
      </c>
      <c r="J8" s="98" t="s">
        <v>332</v>
      </c>
      <c r="K8" s="102"/>
      <c r="L8" s="5"/>
      <c r="M8" s="5"/>
      <c r="N8" s="16"/>
      <c r="O8" s="35"/>
      <c r="P8" s="5"/>
      <c r="Q8" s="5"/>
      <c r="R8" s="5"/>
      <c r="S8" s="16"/>
      <c r="T8" s="35"/>
      <c r="U8" s="5"/>
      <c r="V8" s="5"/>
      <c r="W8" s="5"/>
      <c r="X8" s="15"/>
      <c r="Y8" s="13"/>
    </row>
    <row r="9" spans="1:25" ht="18.75" customHeight="1">
      <c r="A9" s="75">
        <v>46121</v>
      </c>
      <c r="B9" s="2" t="s">
        <v>190</v>
      </c>
      <c r="C9" s="26" t="s">
        <v>341</v>
      </c>
      <c r="D9" s="27" t="s">
        <v>278</v>
      </c>
      <c r="E9">
        <v>13</v>
      </c>
      <c r="F9" s="16" t="s">
        <v>331</v>
      </c>
      <c r="G9" s="14" t="s">
        <v>332</v>
      </c>
      <c r="H9" s="14" t="s">
        <v>332</v>
      </c>
      <c r="I9" s="98" t="s">
        <v>332</v>
      </c>
      <c r="J9" s="98" t="s">
        <v>332</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342</v>
      </c>
    </row>
    <row r="2" spans="1:3">
      <c r="A2" s="55" t="s">
        <v>343</v>
      </c>
      <c r="B2" s="54" t="s">
        <v>344</v>
      </c>
      <c r="C2" s="54" t="s">
        <v>345</v>
      </c>
    </row>
    <row r="3" spans="1:3">
      <c r="A3" s="136" t="s">
        <v>346</v>
      </c>
      <c r="B3" s="137"/>
      <c r="C3" s="138" t="s">
        <v>224</v>
      </c>
    </row>
    <row r="4" spans="1:3">
      <c r="A4" s="5" t="s">
        <v>347</v>
      </c>
      <c r="B4" s="52"/>
      <c r="C4" s="50" t="s">
        <v>31</v>
      </c>
    </row>
    <row r="5" spans="1:3">
      <c r="A5" s="52" t="s">
        <v>348</v>
      </c>
      <c r="B5" s="52"/>
      <c r="C5" s="50" t="s">
        <v>349</v>
      </c>
    </row>
    <row r="6" spans="1:3">
      <c r="A6" s="52" t="s">
        <v>350</v>
      </c>
      <c r="B6" s="52" t="s">
        <v>351</v>
      </c>
      <c r="C6" s="50" t="s">
        <v>87</v>
      </c>
    </row>
    <row r="7" spans="1:3">
      <c r="A7" s="52" t="s">
        <v>352</v>
      </c>
      <c r="B7" s="52" t="s">
        <v>353</v>
      </c>
      <c r="C7" s="50" t="s">
        <v>87</v>
      </c>
    </row>
    <row r="8" spans="1:3">
      <c r="A8" s="52" t="s">
        <v>354</v>
      </c>
      <c r="B8" s="52" t="s">
        <v>355</v>
      </c>
      <c r="C8" s="50" t="s">
        <v>101</v>
      </c>
    </row>
    <row r="9" spans="1:3">
      <c r="A9" s="52" t="s">
        <v>356</v>
      </c>
      <c r="B9" s="52"/>
      <c r="C9" s="50"/>
    </row>
    <row r="10" spans="1:3">
      <c r="A10" s="52" t="s">
        <v>357</v>
      </c>
      <c r="B10" s="52" t="s">
        <v>358</v>
      </c>
      <c r="C10" s="50" t="s">
        <v>359</v>
      </c>
    </row>
    <row r="11" spans="1:3">
      <c r="A11" s="52" t="s">
        <v>360</v>
      </c>
      <c r="B11" s="52" t="s">
        <v>361</v>
      </c>
      <c r="C11" s="50" t="s">
        <v>362</v>
      </c>
    </row>
    <row r="12" spans="1:3">
      <c r="A12" s="52" t="s">
        <v>363</v>
      </c>
      <c r="B12" s="52" t="s">
        <v>364</v>
      </c>
      <c r="C12" s="50" t="s">
        <v>362</v>
      </c>
    </row>
    <row r="13" spans="1:3">
      <c r="A13" s="52" t="s">
        <v>365</v>
      </c>
      <c r="B13" s="52" t="s">
        <v>366</v>
      </c>
      <c r="C13" s="50" t="s">
        <v>362</v>
      </c>
    </row>
    <row r="14" spans="1:3">
      <c r="A14" s="52" t="s">
        <v>367</v>
      </c>
      <c r="B14" s="52" t="s">
        <v>368</v>
      </c>
      <c r="C14" s="50" t="s">
        <v>362</v>
      </c>
    </row>
    <row r="15" spans="1:3">
      <c r="A15" s="52" t="s">
        <v>369</v>
      </c>
      <c r="B15" s="52" t="s">
        <v>370</v>
      </c>
      <c r="C15" s="50" t="s">
        <v>362</v>
      </c>
    </row>
    <row r="16" spans="1:3">
      <c r="A16" s="137" t="s">
        <v>321</v>
      </c>
      <c r="B16" s="137" t="s">
        <v>371</v>
      </c>
      <c r="C16" s="139" t="s">
        <v>372</v>
      </c>
    </row>
    <row r="17" spans="1:3">
      <c r="A17" s="52" t="s">
        <v>373</v>
      </c>
      <c r="B17" s="52" t="s">
        <v>374</v>
      </c>
      <c r="C17" s="50" t="s">
        <v>372</v>
      </c>
    </row>
    <row r="18" spans="1:3">
      <c r="A18" s="52" t="s">
        <v>375</v>
      </c>
      <c r="B18" s="52" t="s">
        <v>351</v>
      </c>
      <c r="C18" s="50" t="s">
        <v>87</v>
      </c>
    </row>
    <row r="19" spans="1:3">
      <c r="A19" s="53" t="s">
        <v>376</v>
      </c>
      <c r="B19" s="53" t="s">
        <v>230</v>
      </c>
      <c r="C19" s="51" t="s">
        <v>377</v>
      </c>
    </row>
    <row r="23" spans="1:3">
      <c r="A23" t="s">
        <v>378</v>
      </c>
    </row>
    <row r="24" spans="1:3">
      <c r="A24" t="s">
        <v>375</v>
      </c>
      <c r="B24" t="s">
        <v>351</v>
      </c>
      <c r="C24" t="s">
        <v>87</v>
      </c>
    </row>
    <row r="25" spans="1:3">
      <c r="A25" t="s">
        <v>376</v>
      </c>
      <c r="B25" t="s">
        <v>230</v>
      </c>
      <c r="C25" t="s">
        <v>377</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379</v>
      </c>
      <c r="C1" s="130" t="s">
        <v>380</v>
      </c>
    </row>
    <row r="2" spans="1:10" ht="15.75" thickTop="1">
      <c r="A2" s="133">
        <v>45911</v>
      </c>
      <c r="B2" s="134">
        <v>1</v>
      </c>
      <c r="C2" s="134" t="s">
        <v>381</v>
      </c>
      <c r="F2" s="75">
        <v>45911</v>
      </c>
      <c r="G2" s="77" t="s">
        <v>190</v>
      </c>
      <c r="H2" s="29" t="str">
        <f>TEXT(F2, "mmm")</f>
        <v>Sep</v>
      </c>
      <c r="I2" s="55" t="str">
        <f>TEXT(F2, "dddd")</f>
        <v>Thursday</v>
      </c>
      <c r="J2">
        <v>1</v>
      </c>
    </row>
    <row r="3" spans="1:10">
      <c r="A3" s="133">
        <f>A2+7</f>
        <v>45918</v>
      </c>
      <c r="B3" s="134">
        <f>B2+1</f>
        <v>2</v>
      </c>
      <c r="C3" s="134" t="s">
        <v>381</v>
      </c>
      <c r="F3" s="75">
        <v>45926</v>
      </c>
      <c r="G3" s="2" t="s">
        <v>259</v>
      </c>
      <c r="H3" s="26" t="str">
        <f>TEXT(F3, "mmm")</f>
        <v>Sep</v>
      </c>
      <c r="I3" s="27" t="str">
        <f>TEXT(F3, "dddd")</f>
        <v>Friday</v>
      </c>
      <c r="J3">
        <f>J2+2</f>
        <v>3</v>
      </c>
    </row>
    <row r="4" spans="1:10">
      <c r="A4" s="133">
        <f t="shared" ref="A4:A12" si="0">A3+7</f>
        <v>45925</v>
      </c>
      <c r="B4" s="134">
        <f t="shared" ref="B4:B11" si="1">B3+1</f>
        <v>3</v>
      </c>
      <c r="C4" s="134" t="s">
        <v>381</v>
      </c>
      <c r="F4" s="75">
        <v>45939</v>
      </c>
      <c r="G4" s="2" t="s">
        <v>190</v>
      </c>
      <c r="H4" s="26" t="str">
        <f t="shared" ref="H4" si="2">TEXT(F4, "mmm")</f>
        <v>Oct</v>
      </c>
      <c r="I4" s="27" t="str">
        <f t="shared" ref="I4" si="3">TEXT(F4, "dddd")</f>
        <v>Thursday</v>
      </c>
      <c r="J4">
        <f>J3+2</f>
        <v>5</v>
      </c>
    </row>
    <row r="5" spans="1:10">
      <c r="A5" s="133">
        <f t="shared" si="0"/>
        <v>45932</v>
      </c>
      <c r="B5" s="134">
        <f t="shared" si="1"/>
        <v>4</v>
      </c>
      <c r="C5" s="134" t="s">
        <v>381</v>
      </c>
      <c r="F5" s="75">
        <v>45946</v>
      </c>
      <c r="G5" s="2" t="s">
        <v>190</v>
      </c>
      <c r="H5" s="26" t="s">
        <v>277</v>
      </c>
      <c r="I5" s="27" t="s">
        <v>278</v>
      </c>
      <c r="J5">
        <v>6</v>
      </c>
    </row>
    <row r="6" spans="1:10">
      <c r="A6" s="133">
        <f t="shared" si="0"/>
        <v>45939</v>
      </c>
      <c r="B6" s="134">
        <f t="shared" si="1"/>
        <v>5</v>
      </c>
      <c r="C6" s="134" t="s">
        <v>381</v>
      </c>
      <c r="F6" s="75">
        <v>45953</v>
      </c>
      <c r="G6" s="2" t="s">
        <v>190</v>
      </c>
      <c r="H6" s="26" t="str">
        <f>TEXT(F6, "mmm")</f>
        <v>Oct</v>
      </c>
      <c r="I6" s="27" t="str">
        <f>TEXT(F6, "dddd")</f>
        <v>Thursday</v>
      </c>
      <c r="J6">
        <f>J4+2</f>
        <v>7</v>
      </c>
    </row>
    <row r="7" spans="1:10">
      <c r="A7" s="133">
        <f t="shared" si="0"/>
        <v>45946</v>
      </c>
      <c r="B7" s="134">
        <f t="shared" si="1"/>
        <v>6</v>
      </c>
      <c r="C7" s="134" t="s">
        <v>331</v>
      </c>
      <c r="F7" s="75">
        <v>45967</v>
      </c>
      <c r="G7" s="2" t="s">
        <v>190</v>
      </c>
      <c r="H7" s="26" t="str">
        <f>TEXT(F7, "mmm")</f>
        <v>Nov</v>
      </c>
      <c r="I7" s="27" t="str">
        <f>TEXT(F7, "dddd")</f>
        <v>Thursday</v>
      </c>
      <c r="J7">
        <f>J6+2</f>
        <v>9</v>
      </c>
    </row>
    <row r="8" spans="1:10">
      <c r="A8" s="133">
        <f t="shared" si="0"/>
        <v>45953</v>
      </c>
      <c r="B8" s="134">
        <f t="shared" si="1"/>
        <v>7</v>
      </c>
      <c r="C8" s="134" t="s">
        <v>382</v>
      </c>
      <c r="F8" s="75">
        <v>45974</v>
      </c>
      <c r="G8" s="2" t="s">
        <v>190</v>
      </c>
      <c r="H8" s="26" t="str">
        <f>TEXT(F8, "mmm")</f>
        <v>Nov</v>
      </c>
      <c r="I8" s="27" t="str">
        <f>TEXT(F8, "dddd")</f>
        <v>Thursday</v>
      </c>
      <c r="J8">
        <v>10</v>
      </c>
    </row>
    <row r="9" spans="1:10">
      <c r="A9" s="133">
        <f t="shared" si="0"/>
        <v>45960</v>
      </c>
      <c r="B9" s="134">
        <f t="shared" si="1"/>
        <v>8</v>
      </c>
      <c r="C9" s="134" t="s">
        <v>381</v>
      </c>
      <c r="F9" s="75">
        <v>45981</v>
      </c>
      <c r="G9" s="2" t="s">
        <v>190</v>
      </c>
      <c r="H9" s="26" t="str">
        <f>TEXT(F9, "mmm")</f>
        <v>Nov</v>
      </c>
      <c r="I9" s="27" t="str">
        <f>TEXT(F9, "dddd")</f>
        <v>Thursday</v>
      </c>
      <c r="J9">
        <f>J7+2</f>
        <v>11</v>
      </c>
    </row>
    <row r="10" spans="1:10">
      <c r="A10" s="133">
        <f t="shared" si="0"/>
        <v>45967</v>
      </c>
      <c r="B10" s="134">
        <f t="shared" si="1"/>
        <v>9</v>
      </c>
      <c r="C10" s="134" t="s">
        <v>382</v>
      </c>
      <c r="F10" s="75">
        <v>45995</v>
      </c>
      <c r="G10" s="2" t="s">
        <v>190</v>
      </c>
      <c r="H10" s="26" t="str">
        <f>TEXT(F10, "mmm")</f>
        <v>Dec</v>
      </c>
      <c r="I10" s="27" t="str">
        <f>TEXT(F10, "dddd")</f>
        <v>Thursday</v>
      </c>
      <c r="J10">
        <f t="shared" ref="J10" si="4">J9+2</f>
        <v>13</v>
      </c>
    </row>
    <row r="11" spans="1:10">
      <c r="A11" s="133">
        <f t="shared" si="0"/>
        <v>45974</v>
      </c>
      <c r="B11" s="134">
        <f t="shared" si="1"/>
        <v>10</v>
      </c>
      <c r="C11" s="134" t="s">
        <v>381</v>
      </c>
    </row>
    <row r="12" spans="1:10">
      <c r="A12" s="133">
        <f t="shared" si="0"/>
        <v>45981</v>
      </c>
      <c r="B12" s="134">
        <f t="shared" ref="B12:B14" si="5">B11+1</f>
        <v>11</v>
      </c>
      <c r="C12" s="134" t="s">
        <v>381</v>
      </c>
    </row>
    <row r="13" spans="1:10">
      <c r="A13" s="133">
        <f t="shared" ref="A13:A14" si="6">A12+7</f>
        <v>45988</v>
      </c>
      <c r="B13" s="134">
        <f t="shared" si="5"/>
        <v>12</v>
      </c>
      <c r="C13" s="134" t="s">
        <v>331</v>
      </c>
    </row>
    <row r="14" spans="1:10">
      <c r="A14" s="133">
        <f t="shared" si="6"/>
        <v>45995</v>
      </c>
      <c r="B14" s="134">
        <f t="shared" si="5"/>
        <v>13</v>
      </c>
      <c r="C14" s="134" t="s">
        <v>381</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383</v>
      </c>
    </row>
    <row r="3" spans="1:9" ht="18.75">
      <c r="A3" s="79" t="s">
        <v>384</v>
      </c>
    </row>
    <row r="5" spans="1:9" ht="37.5">
      <c r="A5" s="80" t="s">
        <v>3</v>
      </c>
      <c r="B5" s="80" t="s">
        <v>4</v>
      </c>
      <c r="C5" s="80" t="s">
        <v>5</v>
      </c>
      <c r="D5" s="80" t="s">
        <v>137</v>
      </c>
      <c r="E5" s="80" t="s">
        <v>189</v>
      </c>
      <c r="F5" s="80" t="s">
        <v>8</v>
      </c>
      <c r="G5" s="80" t="s">
        <v>9</v>
      </c>
      <c r="H5" s="82" t="s">
        <v>385</v>
      </c>
      <c r="I5" s="81" t="s">
        <v>11</v>
      </c>
    </row>
    <row r="6" spans="1:9" ht="18.75">
      <c r="A6" s="92">
        <v>45694</v>
      </c>
      <c r="B6" s="92" t="s">
        <v>190</v>
      </c>
      <c r="C6" s="92" t="s">
        <v>191</v>
      </c>
      <c r="D6" s="93" t="s">
        <v>278</v>
      </c>
      <c r="E6" s="93">
        <v>2</v>
      </c>
      <c r="F6" s="85" t="s">
        <v>40</v>
      </c>
      <c r="G6" s="85" t="s">
        <v>68</v>
      </c>
      <c r="H6" s="85"/>
      <c r="I6" s="84" t="s">
        <v>332</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386</v>
      </c>
      <c r="E9" s="94">
        <v>8</v>
      </c>
      <c r="F9" s="87" t="s">
        <v>204</v>
      </c>
      <c r="G9" s="87" t="s">
        <v>205</v>
      </c>
      <c r="H9" s="87" t="s">
        <v>206</v>
      </c>
      <c r="I9" s="86" t="s">
        <v>332</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387</v>
      </c>
      <c r="G11" s="87" t="s">
        <v>68</v>
      </c>
      <c r="H11" s="87"/>
      <c r="I11" s="86" t="s">
        <v>332</v>
      </c>
    </row>
    <row r="12" spans="1:9" ht="18.75">
      <c r="A12" s="83">
        <v>45758</v>
      </c>
      <c r="B12" s="83" t="s">
        <v>28</v>
      </c>
      <c r="C12" s="83" t="s">
        <v>209</v>
      </c>
      <c r="D12" s="94" t="s">
        <v>214</v>
      </c>
      <c r="E12" s="94">
        <v>11</v>
      </c>
      <c r="F12" s="87" t="s">
        <v>229</v>
      </c>
      <c r="G12" s="87" t="s">
        <v>172</v>
      </c>
      <c r="H12" s="87" t="s">
        <v>31</v>
      </c>
      <c r="I12" s="86" t="s">
        <v>332</v>
      </c>
    </row>
    <row r="13" spans="1:9" ht="18.75">
      <c r="A13" s="83">
        <v>45764</v>
      </c>
      <c r="B13" s="83" t="s">
        <v>190</v>
      </c>
      <c r="C13" s="83" t="s">
        <v>209</v>
      </c>
      <c r="D13" s="94" t="s">
        <v>278</v>
      </c>
      <c r="E13" s="94">
        <v>12</v>
      </c>
      <c r="F13" s="87" t="s">
        <v>388</v>
      </c>
      <c r="G13" s="87"/>
      <c r="H13" s="87"/>
      <c r="I13" s="86"/>
    </row>
    <row r="14" spans="1:9" ht="18.75">
      <c r="A14" s="88">
        <v>45771</v>
      </c>
      <c r="B14" s="88" t="s">
        <v>190</v>
      </c>
      <c r="C14" s="88" t="s">
        <v>209</v>
      </c>
      <c r="D14" s="95" t="s">
        <v>278</v>
      </c>
      <c r="E14" s="95">
        <v>13</v>
      </c>
      <c r="F14" s="90" t="s">
        <v>389</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2026-01-23T10:42:05Z</dcterms:modified>
  <cp:category/>
  <cp:contentStatus/>
</cp:coreProperties>
</file>