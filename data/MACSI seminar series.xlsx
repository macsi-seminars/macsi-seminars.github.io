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337" documentId="13_ncr:1_{12BE53B5-C8C7-44FE-8280-19C653D9122E}" xr6:coauthVersionLast="47" xr6:coauthVersionMax="47" xr10:uidLastSave="{EF5AA23A-AA63-F64E-AC91-E809D4E886F6}"/>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9" l="1"/>
  <c r="D11" i="9"/>
  <c r="A11"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<sst xmlns="http://schemas.openxmlformats.org/spreadsheetml/2006/main" count="1008" uniqueCount="416">
  <si>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</si>
  <si>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</si>
  <si>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</si>
  <si>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</si>
  <si>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</si>
  <si>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</si>
  <si>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</si>
  <si>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</si>
  <si>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</si>
  <si>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</si>
  <si>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</si>
  <si>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</si>
  <si>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</si>
  <si>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</si>
  <si>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</si>
  <si>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</si>
  <si>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</si>
  <si>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</si>
  <si>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</si>
  <si>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</si>
  <si>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</si>
  <si>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</si>
  <si>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</si>
  <si>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</si>
  <si>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</si>
  <si>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</si>
  <si>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</si>
  <si>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</si>
  <si>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</si>
  <si>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</si>
  <si>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</si>
  <si>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</si>
  <si>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</si>
  <si>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</si>
  <si>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</si>
  <si>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</si>
  <si>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</si>
  <si>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</si>
  <si>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</si>
  <si>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</si>
  <si>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</si>
  <si>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</si>
  <si>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</si>
  <si>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</si>
  <si>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</si>
  <si>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</si>
  <si>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</si>
  <si>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</si>
  <si>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</si>
  <si>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</si>
  <si>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</si>
  <si>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</si>
  <si>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</si>
  <si>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</si>
  <si>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</si>
  <si>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</si>
  <si>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</si>
  <si>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</si>
  <si>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</si>
  <si>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</si>
  <si>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</si>
  <si>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</si>
  <si>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</si>
  <si>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</si>
  <si>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</si>
  <si>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</si>
  <si>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</si>
  <si>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</si>
  <si>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</si>
  <si>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</si>
  <si>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</si>
  <si>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</si>
  <si>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</si>
  <si>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</si>
  <si>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</si>
  <si>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</si>
  <si>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</si>
  <si>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</si>
  <si>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</si>
  <si>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</si>
  <si>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</si>
  <si>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</si>
  <si>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</si>
  <si>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</si>
  <si>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</si>
  <si>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</si>
  <si>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</si>
  <si>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</si>
  <si>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</si>
  <si>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</si>
  <si>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</si>
  <si>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</si>
  <si>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</si>
  <si>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</si>
  <si>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</si>
  <si>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</si>
  <si>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</si>
  <si>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</si>
  <si>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</si>
  <si>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</si>
  <si>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</si>
  <si>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</si>
  <si>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</si>
  <si>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</si>
  <si>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</si>
  <si>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</si>
  <si>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</si>
  <si>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</si>
  <si>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</si>
  <si>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</si>
  <si>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</si>
  <si>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</si>
  <si>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</si>
  <si>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</si>
  <si>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</si>
  <si>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</si>
  <si>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</si>
  <si>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</si>
  <si>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</si>
  <si>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</si>
  <si>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</si>
  <si>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</si>
  <si>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</si>
  <si>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</si>
  <si>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</si>
  <si>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</si>
  <si>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</si>
  <si>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</si>
  <si>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</si>
  <si>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</si>
  <si>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</si>
  <si>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</si>
  <si>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</si>
  <si>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</si>
  <si>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</si>
  <si>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</si>
  <si>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</si>
  <si>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</si>
  <si>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</si>
  <si>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</si>
  <si>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</si>
  <si>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</si>
  <si>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</si>
  <si>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</si>
  <si>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</si>
  <si>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</si>
  <si>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</si>
  <si>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</si>
  <si>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</si>
  <si>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</si>
  <si>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</si>
  <si>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</si>
  <si>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</si>
  <si>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</si>
  <si>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</si>
  <si>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</si>
  <si>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</si>
  <si>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</si>
  <si>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</si>
  <si>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</si>
  <si>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</si>
  <si>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</si>
  <si>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</si>
  <si>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</si>
  <si>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</si>
  <si>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</si>
  <si>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</si>
  <si>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</si>
  <si>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</si>
  <si>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</si>
  <si>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</si>
  <si>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</si>
  <si>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</si>
  <si>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</si>
  <si>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</si>
  <si>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</si>
  <si>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</si>
  <si>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</si>
  <si>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</si>
  <si>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</si>
  <si>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</si>
  <si>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</si>
  <si>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</si>
  <si>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</si>
  <si>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</si>
  <si>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</si>
  <si>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</si>
  <si>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</si>
  <si>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</si>
  <si>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</si>
  <si>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</si>
  <si>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</si>
  <si>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</si>
  <si>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</si>
  <si>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</si>
  <si>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</si>
  <si>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</si>
  <si>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</si>
  <si>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</si>
  <si>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</si>
  <si>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</si>
  <si>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</si>
  <si>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</si>
  <si>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</si>
  <si>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</si>
  <si>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</si>
  <si>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</si>
  <si>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</si>
  <si>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</si>
  <si>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</si>
  <si>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</si>
  <si>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</si>
  <si>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</si>
  <si>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</si>
  <si>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</si>
  <si>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</si>
  <si>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</si>
  <si>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</si>
  <si>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</si>
  <si>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</si>
  <si>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</si>
  <si>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</si>
  <si>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</si>
  <si>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</si>
  <si>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</si>
  <si>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</si>
  <si>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</si>
  <si>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</si>
  <si>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</si>
  <si>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</si>
  <si>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</si>
  <si>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</si>
  <si>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</si>
  <si>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</si>
  <si>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</si>
  <si>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</si>
  <si>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</si>
  <si>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</si>
  <si>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</si>
  <si>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</si>
  <si>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</si>
  <si>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</si>
  <si>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</si>
  <si>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</si>
  <si>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</si>
  <si>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</si>
  <si>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</si>
  <si>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</si>
  <si>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</si>
  <si>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</si>
  <si>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</si>
  <si>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</si>
  <si>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</si>
  <si>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</si>
  <si>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</si>
  <si>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</si>
  <si>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</si>
  <si>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</si>
  <si>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</si>
  <si>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</si>
  <si>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</si>
  <si>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</si>
  <si>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</si>
  <si>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</si>
  <si>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</si>
  <si>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</si>
  <si>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</si>
  <si>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</si>
  <si>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</si>
  <si>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</si>
  <si>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</si>
  <si>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</si>
  <si>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</si>
  <si>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</si>
  <si>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</si>
  <si>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</si>
  <si>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</si>
  <si>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</si>
  <si>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</si>
  <si>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</si>
  <si>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</si>
  <si>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</si>
  <si>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</si>
  <si>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</si>
  <si>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</si>
  <si>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</si>
  <si>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</si>
  <si>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</si>
  <si>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</si>
  <si>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</si>
  <si>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</si>
  <si>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</si>
  <si>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</si>
  <si>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</si>
  <si>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</si>
  <si>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</si>
  <si>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</si>
  <si>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</si>
  <si>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</si>
  <si>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</si>
  <si>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</si>
  <si>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</si>
  <si>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</si>
  <si>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</si>
  <si>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</si>
  <si>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</si>
  <si>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</si>
  <si>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</si>
  <si>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</si>
  <si>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</si>
  <si>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</si>
  <si>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</si>
  <si>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</si>
  <si>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</si>
  <si>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</si>
  <si>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</si>
  <si>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</si>
  <si>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</si>
  <si>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</si>
  <si>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</si>
  <si>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</si>
  <si>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</si>
  <si>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</si>
  <si>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</si>
  <si>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</si>
  <si>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</si>
  <si>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</si>
  <si>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</si>
  <si>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</si>
  <si>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</si>
  <si>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</si>
  <si>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</si>
  <si>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</si>
  <si>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</si>
  <si>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</si>
  <si>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</si>
  <si>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</si>
  <si>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</si>
  <si>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</si>
  <si>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</si>
  <si>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</si>
  <si>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</si>
  <si>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TBC</t>
  </si>
  <si>
    <t>Catherine Higgins</t>
  </si>
  <si>
    <t>https://scholar.google.com/citations?user=ikeLYIMAAAAJ&amp;hl=en</t>
  </si>
  <si>
    <t>https://link.springer.com/article/10.1007/s11634-024-00611-8 ; https://onlinelibrary.wiley.com/doi/10.1002/qub2.70011</t>
  </si>
  <si>
    <t>https://www.linkedin.com/in/catherine-higgins-4b5hg/</t>
  </si>
  <si>
    <t>Stuart Thomson</t>
  </si>
  <si>
    <t>Cornelius Fritz</t>
  </si>
  <si>
    <t>Trinity college Dublin</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</si>
  <si>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</si>
  <si>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</si>
  <si>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</si>
  <si>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</si>
  <si>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</si>
  <si>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</si>
  <si>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Carl Scarrott</t>
  </si>
  <si>
    <t>https://scholar.google.com/citations?user=kRgtZZcAAAAJ&amp;hl=en</t>
  </si>
  <si>
    <t xml:space="preserve">https://research.universityofgalway.ie/en/persons/carl-scarrott/ </t>
  </si>
  <si>
    <t>Andrew Keane</t>
  </si>
  <si>
    <t>Open</t>
  </si>
  <si>
    <t>May</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</si>
  <si>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</si>
  <si>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</si>
  <si>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</si>
  <si>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</si>
  <si>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</si>
  <si>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</si>
  <si>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</si>
  <si>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</si>
  <si>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</si>
  <si>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</si>
  <si>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</si>
  <si>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</si>
  <si>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</si>
  <si>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</si>
  <si>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</si>
  <si>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</si>
  <si>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</si>
  <si>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</si>
  <si>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</si>
  <si>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</si>
  <si>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</si>
  <si>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</si>
  <si>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</si>
  <si>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</si>
  <si>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</si>
  <si>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</si>
  <si>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</si>
  <si>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</si>
  <si>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</si>
  <si>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</si>
  <si>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</si>
  <si>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</si>
  <si>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</si>
  <si>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</si>
  <si>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</si>
  <si>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Week</t>
  </si>
  <si>
    <t>Speaker</t>
  </si>
  <si>
    <t>Taken</t>
  </si>
  <si>
    <t xml:space="preserve">Taken </t>
  </si>
  <si>
    <t>Seminar Series AY2024-25 Sem 2</t>
  </si>
  <si>
    <t xml:space="preserve">Contact david.osullivan@ul.ie &amp; mehakpreet.singh@ul.ie to book a speaker in. </t>
  </si>
  <si>
    <t>Deptartmental contact</t>
  </si>
  <si>
    <t>Wednesday</t>
  </si>
  <si>
    <t>Robery Garvey</t>
  </si>
  <si>
    <t>Tentative speaker</t>
  </si>
  <si>
    <t>Leornard Henckel</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</si>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</sst>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calcChain" Target="calcChain.xml" /><Relationship Id="rId3" Type="http://schemas.openxmlformats.org/officeDocument/2006/relationships/worksheet" Target="worksheets/sheet3.xml" /><Relationship Id="rId7" Type="http://schemas.openxmlformats.org/officeDocument/2006/relationships/worksheet" Target="worksheets/sheet7.xml" /><Relationship Id="rId12" Type="http://schemas.openxmlformats.org/officeDocument/2006/relationships/sharedStrings" Target="sharedStrings.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tyles" Target="styles.xml" /><Relationship Id="rId5" Type="http://schemas.openxmlformats.org/officeDocument/2006/relationships/worksheet" Target="worksheets/sheet5.xml" /><Relationship Id="rId10" Type="http://schemas.openxmlformats.org/officeDocument/2006/relationships/theme" Target="theme/theme1.xml" /><Relationship Id="rId4" Type="http://schemas.openxmlformats.org/officeDocument/2006/relationships/worksheet" Target="worksheets/sheet4.xml" /><Relationship Id="rId9" Type="http://schemas.openxmlformats.org/officeDocument/2006/relationships/worksheet" Target="worksheets/sheet9.xml"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 /><Relationship Id="rId3" Type="http://schemas.openxmlformats.org/officeDocument/2006/relationships/hyperlink" Target="https://scholar.google.com/citations?user=5QMkI0gAAAAJ&amp;hl=en" TargetMode="External" /><Relationship Id="rId7" Type="http://schemas.openxmlformats.org/officeDocument/2006/relationships/hyperlink" Target="https://scholar.google.com/citations?user=yVUdTdUAAAAJ&amp;hl=en" TargetMode="External" /><Relationship Id="rId12" Type="http://schemas.openxmlformats.org/officeDocument/2006/relationships/hyperlink" Target="https://scholar.google.co.uk/citations?user=xupsCdUAAAAJ&amp;hl=en" TargetMode="External" /><Relationship Id="rId2" Type="http://schemas.openxmlformats.org/officeDocument/2006/relationships/hyperlink" Target="https://scholar.google.com/citations?user=MJVJ8pUAAAAJ&amp;hl=en&amp;oi=ao" TargetMode="External" /><Relationship Id="rId1" Type="http://schemas.openxmlformats.org/officeDocument/2006/relationships/hyperlink" Target="https://scholar.google.com/citations?user=fZNoYSMAAAAJ&amp;hl=en" TargetMode="External" /><Relationship Id="rId6" Type="http://schemas.openxmlformats.org/officeDocument/2006/relationships/hyperlink" Target="https://eps.leeds.ac.uk/maths/staff/10606/dr-srikanth-toppaladoddi" TargetMode="External" /><Relationship Id="rId11" Type="http://schemas.openxmlformats.org/officeDocument/2006/relationships/hyperlink" Target="https://scholar.google.com/citations?user=SgSV1gIAAAAJ&amp;hl=en" TargetMode="External" /><Relationship Id="rId5" Type="http://schemas.openxmlformats.org/officeDocument/2006/relationships/hyperlink" Target="https://scholar.google.com.br/citations?user=Ujun714AAAAJ&amp;hl=en" TargetMode="External" /><Relationship Id="rId10" Type="http://schemas.openxmlformats.org/officeDocument/2006/relationships/hyperlink" Target="https://scholar.google.com/citations?user=obekKC8AAAAJ&amp;hl=en" TargetMode="External" /><Relationship Id="rId4" Type="http://schemas.openxmlformats.org/officeDocument/2006/relationships/hyperlink" Target="https://arxiv.org/pdf/2210.02376.pdf" TargetMode="External" /><Relationship Id="rId9" Type="http://schemas.openxmlformats.org/officeDocument/2006/relationships/hyperlink" Target="https://scholar.google.com/citations?user=eoA_1iUAAAAJ&amp;hl=en" TargetMode="External" /></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 /><Relationship Id="rId1" Type="http://schemas.openxmlformats.org/officeDocument/2006/relationships/hyperlink" Target="https://scholar.google.com/citations?user=IsiaqegAAAAJ&amp;hl=en" TargetMode="External" /></Relationships>
</file>

<file path=xl/worksheets/_rels/sheet3.xml.rels><?xml version="1.0" encoding="UTF-8" standalone="yes"?>
<Relationships xmlns="http://schemas.openxmlformats.org/package/2006/relationships"><Relationship Id="rId1" Type="http://schemas.openxmlformats.org/officeDocument/2006/relationships/hyperlink" Target="https://scholar.google.co.in/citations?hl=en&amp;user=jUEUMhYAAAAJ&amp;view_op=list_works&amp;sortby=pubdate" TargetMode="External" /></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 /><Relationship Id="rId13" Type="http://schemas.openxmlformats.org/officeDocument/2006/relationships/printerSettings" Target="../printerSettings/printerSettings2.bin" /><Relationship Id="rId3" Type="http://schemas.openxmlformats.org/officeDocument/2006/relationships/hyperlink" Target="https://scholar.google.com/citations?user=j2CypRIAAAAJ&amp;hl=en" TargetMode="External" /><Relationship Id="rId7" Type="http://schemas.openxmlformats.org/officeDocument/2006/relationships/hyperlink" Target="https://scholar.google.com/citations?user=nfeQtPQAAAAJ&amp;hl=pt-BR" TargetMode="External" /><Relationship Id="rId12" Type="http://schemas.openxmlformats.org/officeDocument/2006/relationships/hyperlink" Target="https://scholar.google.com/citations?user=d-Wde0EAAAAJ&amp;hl=en" TargetMode="External" /><Relationship Id="rId2" Type="http://schemas.openxmlformats.org/officeDocument/2006/relationships/hyperlink" Target="https://scholar.google.com/citations?user=Pl9cdEYAAAAJ&amp;hl=en" TargetMode="External" /><Relationship Id="rId1" Type="http://schemas.openxmlformats.org/officeDocument/2006/relationships/hyperlink" Target="https://scholar.google.com/citations?user=N-A7h6EAAAAJ&amp;hl=en" TargetMode="External" /><Relationship Id="rId6" Type="http://schemas.openxmlformats.org/officeDocument/2006/relationships/hyperlink" Target="https://scholar.google.com/citations?user=pglQgmQAAAAJ&amp;hl=en" TargetMode="External" /><Relationship Id="rId11" Type="http://schemas.openxmlformats.org/officeDocument/2006/relationships/hyperlink" Target="https://www.tcd.ie/scss/people/academic-staff/dangelos/%20;%20https:/sites.google.com/view/silviadangelo/home" TargetMode="External" /><Relationship Id="rId5" Type="http://schemas.openxmlformats.org/officeDocument/2006/relationships/hyperlink" Target="https://scholar.google.com/citations?user=cbz4D-gAAAAJ&amp;hl=en" TargetMode="External" /><Relationship Id="rId10" Type="http://schemas.openxmlformats.org/officeDocument/2006/relationships/hyperlink" Target="https://scholar.google.com/citations?user=dIpyVmAAAAAJ&amp;hl=en&amp;oi=ao" TargetMode="External" /><Relationship Id="rId4" Type="http://schemas.openxmlformats.org/officeDocument/2006/relationships/hyperlink" Target="https://scholar.google.com/citations?user=paf72YcAAAAJ&amp;hl=en" TargetMode="External" /><Relationship Id="rId9" Type="http://schemas.openxmlformats.org/officeDocument/2006/relationships/hyperlink" Target="https://www.mathematik.rwth-aachen.de/go/id/bkbg/gguid/0xB6609343D23C3E4C960D1261B2A0493E/ikz/11/allou/1/lidx/1/?mobile=1" TargetMode="External" /></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 /><Relationship Id="rId3" Type="http://schemas.openxmlformats.org/officeDocument/2006/relationships/hyperlink" Target="https://scholar.google.de/citations?user=0X7D4mwAAAAJ&amp;hl=en" TargetMode="External" /><Relationship Id="rId7" Type="http://schemas.openxmlformats.org/officeDocument/2006/relationships/hyperlink" Target="https://www.linkedin.com/in/catherine-higgins-4b5hg/" TargetMode="External" /><Relationship Id="rId2" Type="http://schemas.openxmlformats.org/officeDocument/2006/relationships/hyperlink" Target="https://www.tcd.ie/scss/people/academic-staff/fritzc/%20;%20https:/www.corneliusfritz.com/about/" TargetMode="External" /><Relationship Id="rId1" Type="http://schemas.openxmlformats.org/officeDocument/2006/relationships/hyperlink" Target="https://arxiv.org/abs/2504.00049" TargetMode="External" /><Relationship Id="rId6" Type="http://schemas.openxmlformats.org/officeDocument/2006/relationships/hyperlink" Target="https://scholar.google.com/citations?user=ikeLYIMAAAAJ&amp;hl=en" TargetMode="External" /><Relationship Id="rId5" Type="http://schemas.openxmlformats.org/officeDocument/2006/relationships/hyperlink" Target="https://scholar.google.com/citations?user=kRgtZZcAAAAJ&amp;hl=en" TargetMode="External" /><Relationship Id="rId10" Type="http://schemas.openxmlformats.org/officeDocument/2006/relationships/hyperlink" Target="https://www.leahkeating.ie/" TargetMode="External" /><Relationship Id="rId4" Type="http://schemas.openxmlformats.org/officeDocument/2006/relationships/hyperlink" Target="https://research.universityofgalway.ie/en/persons/carl-scarrott/" TargetMode="External" /><Relationship Id="rId9" Type="http://schemas.openxmlformats.org/officeDocument/2006/relationships/hyperlink" Target="https://arxiv.org/abs/2511.15688" TargetMode="Externa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x14ac:dyDescent="0.2"/>
  <cols>
    <col min="1" max="1" width="11.1640625" bestFit="1" customWidth="1"/>
    <col min="2" max="4" width="11.1640625" customWidth="1"/>
    <col min="5" max="5" width="13.31640625" bestFit="1" customWidth="1"/>
    <col min="6" max="7" width="24.078125" customWidth="1"/>
    <col min="8" max="8" width="21.1171875" bestFit="1" customWidth="1"/>
    <col min="9" max="9" width="52.8671875" customWidth="1"/>
    <col min="10" max="10" width="60.9375" customWidth="1"/>
    <col min="11" max="11" width="20.58203125" bestFit="1" customWidth="1"/>
    <col min="12" max="13" width="12.5078125" customWidth="1"/>
    <col min="14" max="14" width="41.02734375" customWidth="1"/>
    <col min="15" max="15" width="19.7734375" bestFit="1" customWidth="1"/>
    <col min="16" max="16" width="36.58984375" customWidth="1"/>
    <col min="17" max="17" width="9.68359375" bestFit="1" customWidth="1"/>
    <col min="18" max="18" width="11.97265625" bestFit="1" customWidth="1"/>
    <col min="19" max="19" width="9.68359375" bestFit="1" customWidth="1"/>
    <col min="20" max="20" width="15.33203125" bestFit="1" customWidth="1"/>
    <col min="21" max="21" width="18.6953125" bestFit="1" customWidth="1"/>
    <col min="22" max="22" width="39.01171875" bestFit="1" customWidth="1"/>
    <col min="23" max="23" width="28.3828125" bestFit="1" customWidth="1"/>
    <col min="24" max="24" width="26.6328125" bestFit="1" customWidth="1"/>
    <col min="25" max="25" width="37.80078125" bestFit="1" customWidth="1"/>
  </cols>
  <sheetData>
    <row r="1" spans="1:25" x14ac:dyDescent="0.2">
      <c r="A1" t="s">
        <v>0</v>
      </c>
      <c r="P1" t="s">
        <v>1</v>
      </c>
      <c r="U1" t="s">
        <v>2</v>
      </c>
    </row>
    <row r="2" spans="1:25" ht="27.75" x14ac:dyDescent="0.2">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x14ac:dyDescent="0.2">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x14ac:dyDescent="0.2">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x14ac:dyDescent="0.2">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x14ac:dyDescent="0.2">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x14ac:dyDescent="0.2">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x14ac:dyDescent="0.2">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x14ac:dyDescent="0.2">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x14ac:dyDescent="0.2">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x14ac:dyDescent="0.2">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x14ac:dyDescent="0.2">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x14ac:dyDescent="0.2">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x14ac:dyDescent="0.2">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x14ac:dyDescent="0.2">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x14ac:dyDescent="0.2">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x14ac:dyDescent="0.2">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x14ac:dyDescent="0.2">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x14ac:dyDescent="0.25">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x14ac:dyDescent="0.2">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x14ac:dyDescent="0.2"/>
  <cols>
    <col min="1" max="1" width="11.1640625" bestFit="1" customWidth="1"/>
    <col min="2" max="4" width="11.1640625" customWidth="1"/>
    <col min="5" max="5" width="13.31640625" bestFit="1" customWidth="1"/>
    <col min="6" max="7" width="24.078125" customWidth="1"/>
    <col min="8" max="8" width="21.1171875" bestFit="1" customWidth="1"/>
    <col min="9" max="9" width="52.8671875" customWidth="1"/>
    <col min="10" max="10" width="60.9375" customWidth="1"/>
    <col min="11" max="11" width="20.58203125" bestFit="1" customWidth="1"/>
    <col min="12" max="13" width="12.5078125" customWidth="1"/>
    <col min="14" max="14" width="41.02734375" customWidth="1"/>
    <col min="15" max="15" width="19.7734375" bestFit="1" customWidth="1"/>
    <col min="16" max="16" width="36.58984375" customWidth="1"/>
    <col min="17" max="17" width="9.68359375" bestFit="1" customWidth="1"/>
    <col min="18" max="18" width="11.97265625" bestFit="1" customWidth="1"/>
    <col min="19" max="19" width="9.68359375" bestFit="1" customWidth="1"/>
    <col min="20" max="20" width="15.33203125" bestFit="1" customWidth="1"/>
    <col min="21" max="21" width="18.6953125" bestFit="1" customWidth="1"/>
    <col min="22" max="22" width="39.01171875" bestFit="1" customWidth="1"/>
    <col min="23" max="23" width="28.3828125" bestFit="1" customWidth="1"/>
    <col min="24" max="24" width="26.6328125" bestFit="1" customWidth="1"/>
    <col min="25" max="25" width="37.80078125" bestFit="1" customWidth="1"/>
  </cols>
  <sheetData>
    <row r="1" spans="1:25" x14ac:dyDescent="0.2">
      <c r="A1" t="s">
        <v>0</v>
      </c>
      <c r="P1" t="s">
        <v>1</v>
      </c>
      <c r="U1" t="s">
        <v>2</v>
      </c>
    </row>
    <row r="2" spans="1:25" ht="28.5" thickBot="1" x14ac:dyDescent="0.25">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x14ac:dyDescent="0.2">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x14ac:dyDescent="0.2">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x14ac:dyDescent="0.2">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x14ac:dyDescent="0.2">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x14ac:dyDescent="0.2">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x14ac:dyDescent="0.2">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x14ac:dyDescent="0.2">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x14ac:dyDescent="0.2">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x14ac:dyDescent="0.2">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x14ac:dyDescent="0.25">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x14ac:dyDescent="0.2">
      <c r="A13" s="26"/>
      <c r="B13" s="26"/>
      <c r="C13" s="26"/>
      <c r="D13" s="26"/>
      <c r="I13" s="3"/>
    </row>
    <row r="14" spans="1:25" x14ac:dyDescent="0.2">
      <c r="A14" s="26"/>
      <c r="B14" s="26"/>
      <c r="C14" s="26"/>
      <c r="D14" s="26"/>
    </row>
    <row r="29" spans="1:10" x14ac:dyDescent="0.2">
      <c r="A29" s="61"/>
      <c r="B29" s="61"/>
      <c r="C29" s="61"/>
      <c r="D29" s="61"/>
      <c r="E29" s="61"/>
      <c r="F29" s="61"/>
      <c r="G29" s="61"/>
      <c r="H29" s="61"/>
      <c r="I29" s="61"/>
      <c r="J29" s="61"/>
    </row>
    <row r="31" spans="1:10" x14ac:dyDescent="0.2">
      <c r="A31" s="60"/>
      <c r="B31" s="60"/>
    </row>
    <row r="32" spans="1:10" x14ac:dyDescent="0.2">
      <c r="A32" s="60"/>
      <c r="B32" s="60"/>
    </row>
    <row r="33" spans="1:2" x14ac:dyDescent="0.2">
      <c r="A33" s="60"/>
      <c r="B33" s="60"/>
    </row>
    <row r="34" spans="1:2" x14ac:dyDescent="0.2">
      <c r="A34" s="60"/>
      <c r="B34" s="60"/>
    </row>
    <row r="35" spans="1:2" x14ac:dyDescent="0.2">
      <c r="A35" s="60"/>
      <c r="B35" s="60"/>
    </row>
    <row r="36" spans="1:2" x14ac:dyDescent="0.2">
      <c r="A36" s="60"/>
      <c r="B36" s="60"/>
    </row>
    <row r="37" spans="1:2" x14ac:dyDescent="0.2">
      <c r="A37" s="60"/>
      <c r="B37" s="60"/>
    </row>
    <row r="38" spans="1:2" x14ac:dyDescent="0.2">
      <c r="A38" s="60"/>
      <c r="B38" s="60"/>
    </row>
    <row r="39" spans="1:2" x14ac:dyDescent="0.2">
      <c r="A39" s="60"/>
      <c r="B39" s="60"/>
    </row>
    <row r="40" spans="1:2" x14ac:dyDescent="0.2">
      <c r="A40" s="60"/>
      <c r="B40" s="60"/>
    </row>
    <row r="41" spans="1:2" x14ac:dyDescent="0.2">
      <c r="A41" s="60"/>
      <c r="B41" s="60"/>
    </row>
    <row r="42" spans="1:2" x14ac:dyDescent="0.2">
      <c r="A42" s="60"/>
      <c r="B42" s="60"/>
    </row>
    <row r="43" spans="1:2" x14ac:dyDescent="0.2">
      <c r="A43" s="60"/>
      <c r="B43" s="60"/>
    </row>
    <row r="44" spans="1:2" x14ac:dyDescent="0.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x14ac:dyDescent="0.2"/>
  <cols>
    <col min="1" max="1" width="12.5078125" customWidth="1"/>
    <col min="2" max="2" width="5.91796875" bestFit="1" customWidth="1"/>
    <col min="3" max="3" width="11.1640625" customWidth="1"/>
    <col min="4" max="4" width="11.02734375" customWidth="1"/>
    <col min="5" max="5" width="9.14453125" bestFit="1" customWidth="1"/>
    <col min="6" max="6" width="24.6171875" customWidth="1"/>
    <col min="7" max="7" width="30.8046875" customWidth="1"/>
    <col min="8" max="8" width="21.25390625" bestFit="1" customWidth="1"/>
    <col min="9" max="9" width="36.58984375" bestFit="1" customWidth="1"/>
    <col min="10" max="10" width="31.87890625" customWidth="1"/>
    <col min="11" max="11" width="20.58203125" bestFit="1" customWidth="1"/>
    <col min="12" max="13" width="12.5078125" customWidth="1"/>
    <col min="14" max="14" width="43.1796875" customWidth="1"/>
    <col min="15" max="15" width="19.7734375" bestFit="1" customWidth="1"/>
    <col min="16" max="16" width="36.58984375" customWidth="1"/>
    <col min="17" max="17" width="9.68359375" bestFit="1" customWidth="1"/>
    <col min="18" max="18" width="11.97265625" bestFit="1" customWidth="1"/>
    <col min="19" max="19" width="11.703125" bestFit="1" customWidth="1"/>
    <col min="20" max="20" width="15.33203125" bestFit="1" customWidth="1"/>
    <col min="21" max="21" width="18.6953125" bestFit="1" customWidth="1"/>
    <col min="22" max="22" width="39.01171875" bestFit="1" customWidth="1"/>
    <col min="23" max="23" width="28.3828125" bestFit="1" customWidth="1"/>
    <col min="24" max="24" width="26.6328125" bestFit="1" customWidth="1"/>
    <col min="25" max="25" width="37.80078125" bestFit="1" customWidth="1"/>
  </cols>
  <sheetData>
    <row r="1" spans="1:25" x14ac:dyDescent="0.2">
      <c r="A1" t="s">
        <v>0</v>
      </c>
      <c r="P1" t="s">
        <v>1</v>
      </c>
      <c r="U1" t="s">
        <v>2</v>
      </c>
    </row>
    <row r="2" spans="1:25" ht="27.75" customHeight="1" thickBot="1" x14ac:dyDescent="0.25">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x14ac:dyDescent="0.2">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x14ac:dyDescent="0.2">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x14ac:dyDescent="0.2">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x14ac:dyDescent="0.2">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x14ac:dyDescent="0.2">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x14ac:dyDescent="0.2">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x14ac:dyDescent="0.2">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x14ac:dyDescent="0.2">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x14ac:dyDescent="0.2">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x14ac:dyDescent="0.2">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x14ac:dyDescent="0.2">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x14ac:dyDescent="0.2">
      <c r="A15" s="4">
        <v>45805</v>
      </c>
      <c r="B15" s="119" t="s">
        <v>28</v>
      </c>
      <c r="C15" s="125" t="str">
        <f>TEXT(A15,"mmm")</f>
        <v>May</v>
      </c>
      <c r="D15" s="106" t="str">
        <f t="shared" si="1"/>
        <v>Wednesday</v>
      </c>
      <c r="E15">
        <v>18</v>
      </c>
      <c r="F15" t="s">
        <v>248</v>
      </c>
      <c r="G15" t="s">
        <v>152</v>
      </c>
      <c r="H15" t="s">
        <v>101</v>
      </c>
      <c r="I15" t="s">
        <v>249</v>
      </c>
      <c r="J15" s="129" t="s">
        <v>250</v>
      </c>
    </row>
    <row r="16" spans="1:25" ht="15.75" customHeight="1" x14ac:dyDescent="0.2">
      <c r="A16" s="75"/>
    </row>
    <row r="17" spans="1:2" x14ac:dyDescent="0.2">
      <c r="A17" s="26"/>
    </row>
    <row r="18" spans="1:2" x14ac:dyDescent="0.2">
      <c r="A18" s="26"/>
    </row>
    <row r="19" spans="1:2" x14ac:dyDescent="0.2">
      <c r="A19" s="26"/>
    </row>
    <row r="20" spans="1:2" x14ac:dyDescent="0.2">
      <c r="A20" s="75"/>
    </row>
    <row r="21" spans="1:2" x14ac:dyDescent="0.2">
      <c r="A21" s="26"/>
    </row>
    <row r="22" spans="1:2" x14ac:dyDescent="0.2">
      <c r="A22" s="75"/>
    </row>
    <row r="23" spans="1:2" x14ac:dyDescent="0.2">
      <c r="A23" s="26"/>
    </row>
    <row r="24" spans="1:2" x14ac:dyDescent="0.2">
      <c r="A24" s="26"/>
    </row>
    <row r="25" spans="1:2" x14ac:dyDescent="0.2">
      <c r="A25" s="26"/>
    </row>
    <row r="26" spans="1:2" x14ac:dyDescent="0.2">
      <c r="A26" s="26"/>
    </row>
    <row r="27" spans="1:2" x14ac:dyDescent="0.2">
      <c r="A27" s="26"/>
    </row>
    <row r="28" spans="1:2" x14ac:dyDescent="0.2">
      <c r="A28" s="26"/>
    </row>
    <row r="31" spans="1:2" x14ac:dyDescent="0.2">
      <c r="B31" s="60"/>
    </row>
    <row r="32" spans="1:2" x14ac:dyDescent="0.2">
      <c r="A32" s="60"/>
      <c r="B32" s="60"/>
    </row>
    <row r="33" spans="1:2" x14ac:dyDescent="0.2">
      <c r="A33" s="60"/>
      <c r="B33" s="60"/>
    </row>
    <row r="34" spans="1:2" x14ac:dyDescent="0.2">
      <c r="A34" s="60"/>
      <c r="B34" s="60"/>
    </row>
    <row r="35" spans="1:2" x14ac:dyDescent="0.2">
      <c r="A35" s="60"/>
      <c r="B35" s="60"/>
    </row>
    <row r="36" spans="1:2" x14ac:dyDescent="0.2">
      <c r="A36" s="60"/>
      <c r="B36" s="60"/>
    </row>
    <row r="37" spans="1:2" x14ac:dyDescent="0.2">
      <c r="A37" s="60"/>
      <c r="B37" s="60"/>
    </row>
    <row r="38" spans="1:2" x14ac:dyDescent="0.2">
      <c r="A38" s="60"/>
      <c r="B38" s="60"/>
    </row>
    <row r="39" spans="1:2" x14ac:dyDescent="0.2">
      <c r="A39" s="60"/>
      <c r="B39" s="60"/>
    </row>
    <row r="40" spans="1:2" x14ac:dyDescent="0.2">
      <c r="A40" s="60"/>
      <c r="B40" s="60"/>
    </row>
    <row r="41" spans="1:2" x14ac:dyDescent="0.2">
      <c r="A41" s="60"/>
      <c r="B41" s="60"/>
    </row>
    <row r="42" spans="1:2" x14ac:dyDescent="0.2">
      <c r="A42" s="60"/>
      <c r="B42" s="60"/>
    </row>
    <row r="43" spans="1:2" x14ac:dyDescent="0.2">
      <c r="A43" s="60"/>
      <c r="B43" s="60"/>
    </row>
    <row r="44" spans="1:2" x14ac:dyDescent="0.2">
      <c r="A44" s="60"/>
      <c r="B44" s="60"/>
    </row>
    <row r="45" spans="1:2" x14ac:dyDescent="0.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Left" activeCell="A17" sqref="A17"/>
      <selection pane="topRight" activeCell="H1" sqref="H1"/>
      <selection pane="bottomRight" activeCell="H1" sqref="H1"/>
    </sheetView>
  </sheetViews>
  <sheetFormatPr defaultRowHeight="15" x14ac:dyDescent="0.2"/>
  <cols>
    <col min="1" max="1" width="12.64453125" customWidth="1"/>
    <col min="2" max="2" width="14.52734375" customWidth="1"/>
    <col min="3" max="3" width="20.04296875" customWidth="1"/>
    <col min="4" max="4" width="11.02734375" customWidth="1"/>
    <col min="6" max="6" width="33.359375" customWidth="1"/>
    <col min="7" max="7" width="30.8046875" customWidth="1"/>
    <col min="8" max="8" width="21.25390625" bestFit="1" customWidth="1"/>
    <col min="9" max="9" width="36.58984375" bestFit="1" customWidth="1"/>
    <col min="10" max="10" width="31.87890625" customWidth="1"/>
    <col min="11" max="11" width="20.58203125" bestFit="1" customWidth="1"/>
    <col min="12" max="13" width="12.5078125" customWidth="1"/>
    <col min="14" max="14" width="43.1796875" customWidth="1"/>
    <col min="15" max="15" width="19.7734375" bestFit="1" customWidth="1"/>
    <col min="16" max="16" width="36.58984375" customWidth="1"/>
    <col min="17" max="17" width="9.68359375" bestFit="1" customWidth="1"/>
    <col min="18" max="18" width="11.97265625" bestFit="1" customWidth="1"/>
    <col min="19" max="19" width="11.703125" bestFit="1" customWidth="1"/>
    <col min="20" max="20" width="15.33203125" bestFit="1" customWidth="1"/>
    <col min="21" max="21" width="18.6953125" bestFit="1" customWidth="1"/>
    <col min="22" max="22" width="39.01171875" bestFit="1" customWidth="1"/>
    <col min="23" max="23" width="28.3828125" bestFit="1" customWidth="1"/>
    <col min="24" max="24" width="26.6328125" bestFit="1" customWidth="1"/>
    <col min="25" max="25" width="37.80078125" bestFit="1" customWidth="1"/>
  </cols>
  <sheetData>
    <row r="1" spans="1:25" x14ac:dyDescent="0.2">
      <c r="A1" t="s">
        <v>0</v>
      </c>
      <c r="P1" t="s">
        <v>1</v>
      </c>
      <c r="U1" t="s">
        <v>2</v>
      </c>
    </row>
    <row r="2" spans="1:25" ht="27.75" x14ac:dyDescent="0.2">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x14ac:dyDescent="0.25">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x14ac:dyDescent="0.2">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x14ac:dyDescent="0.2">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x14ac:dyDescent="0.2">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x14ac:dyDescent="0.2">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x14ac:dyDescent="0.2">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x14ac:dyDescent="0.2">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x14ac:dyDescent="0.2">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x14ac:dyDescent="0.2">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x14ac:dyDescent="0.2">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x14ac:dyDescent="0.2">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x14ac:dyDescent="0.2">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x14ac:dyDescent="0.25">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x14ac:dyDescent="0.25">
      <c r="A16" s="26"/>
      <c r="B16" s="26"/>
      <c r="C16" s="26"/>
      <c r="X16" s="20"/>
      <c r="Y16" s="18"/>
    </row>
    <row r="17" spans="1:3" ht="15" customHeight="1" x14ac:dyDescent="0.2">
      <c r="A17" s="26"/>
      <c r="B17" s="26"/>
      <c r="C17" s="26"/>
    </row>
    <row r="18" spans="1:3" ht="15" customHeight="1" x14ac:dyDescent="0.2">
      <c r="A18" s="26"/>
      <c r="B18" s="26"/>
      <c r="C18" s="26"/>
    </row>
    <row r="19" spans="1:3" ht="15" customHeight="1" x14ac:dyDescent="0.2">
      <c r="A19" s="26"/>
      <c r="B19" s="26"/>
      <c r="C19" s="26"/>
    </row>
    <row r="20" spans="1:3" ht="15" customHeight="1" x14ac:dyDescent="0.2"/>
    <row r="21" spans="1:3" ht="15" customHeight="1" x14ac:dyDescent="0.2"/>
    <row r="22" spans="1:3" ht="15" customHeight="1" x14ac:dyDescent="0.2"/>
    <row r="23" spans="1:3" ht="15" customHeight="1" x14ac:dyDescent="0.2"/>
    <row r="24" spans="1:3" ht="15" customHeight="1" x14ac:dyDescent="0.2"/>
    <row r="25" spans="1:3" ht="15" customHeight="1" x14ac:dyDescent="0.2"/>
    <row r="26" spans="1:3" ht="15" customHeight="1" x14ac:dyDescent="0.2"/>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6"/>
  <sheetViews>
    <sheetView tabSelected="1" topLeftCell="L1" workbookViewId="0">
      <selection activeCell="M6" sqref="M6"/>
    </sheetView>
  </sheetViews>
  <sheetFormatPr defaultRowHeight="15" x14ac:dyDescent="0.2"/>
  <cols>
    <col min="1" max="1" width="12.5078125" customWidth="1"/>
    <col min="2" max="2" width="11.1640625" bestFit="1" customWidth="1"/>
    <col min="3" max="3" width="17.08203125" customWidth="1"/>
    <col min="4" max="4" width="11.02734375" customWidth="1"/>
    <col min="6" max="6" width="33.359375" customWidth="1"/>
    <col min="7" max="7" width="30.8046875" customWidth="1"/>
    <col min="8" max="8" width="21.25390625" bestFit="1" customWidth="1"/>
    <col min="9" max="9" width="36.58984375" bestFit="1" customWidth="1"/>
    <col min="10" max="10" width="31.87890625" customWidth="1"/>
    <col min="11" max="11" width="20.4453125" customWidth="1"/>
    <col min="12" max="13" width="12.5078125" customWidth="1"/>
    <col min="14" max="14" width="43.1796875" customWidth="1"/>
    <col min="15" max="15" width="19.7734375" bestFit="1" customWidth="1"/>
    <col min="16" max="16" width="36.58984375" customWidth="1"/>
    <col min="17" max="17" width="9.68359375" bestFit="1" customWidth="1"/>
    <col min="18" max="18" width="11.97265625" bestFit="1" customWidth="1"/>
    <col min="19" max="19" width="11.703125" bestFit="1" customWidth="1"/>
    <col min="20" max="20" width="15.33203125" bestFit="1" customWidth="1"/>
    <col min="21" max="21" width="18.6953125" bestFit="1" customWidth="1"/>
    <col min="22" max="22" width="39.01171875" bestFit="1" customWidth="1"/>
    <col min="23" max="23" width="28.3828125" bestFit="1" customWidth="1"/>
    <col min="24" max="24" width="26.6328125" bestFit="1" customWidth="1"/>
    <col min="25" max="25" width="37.80078125" bestFit="1" customWidth="1"/>
  </cols>
  <sheetData>
    <row r="1" spans="1:25" x14ac:dyDescent="0.2">
      <c r="A1" t="s">
        <v>0</v>
      </c>
      <c r="P1" t="s">
        <v>1</v>
      </c>
      <c r="U1" t="s">
        <v>2</v>
      </c>
    </row>
    <row r="2" spans="1:25" ht="27.75" x14ac:dyDescent="0.2">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x14ac:dyDescent="0.2">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x14ac:dyDescent="0.2">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x14ac:dyDescent="0.2">
      <c r="A6" s="75">
        <f>A5+14</f>
        <v>46093</v>
      </c>
      <c r="B6" s="2" t="s">
        <v>190</v>
      </c>
      <c r="C6" s="26" t="str">
        <f t="shared" si="0"/>
        <v>Mar</v>
      </c>
      <c r="D6" s="27" t="str">
        <f t="shared" si="1"/>
        <v>Thursday</v>
      </c>
      <c r="E6">
        <f t="shared" si="2"/>
        <v>7</v>
      </c>
      <c r="F6" s="16" t="s">
        <v>341</v>
      </c>
      <c r="G6" s="14" t="s">
        <v>152</v>
      </c>
      <c r="H6" s="5" t="s">
        <v>95</v>
      </c>
      <c r="I6" s="98" t="s">
        <v>412</v>
      </c>
      <c r="J6" s="98" t="s">
        <v>413</v>
      </c>
      <c r="K6" s="102"/>
      <c r="L6" s="24" t="s">
        <v>414</v>
      </c>
      <c r="M6" s="24" t="s">
        <v>415</v>
      </c>
      <c r="N6" s="16"/>
      <c r="O6" s="35"/>
      <c r="P6" s="5"/>
      <c r="Q6" s="5"/>
      <c r="R6" s="5"/>
      <c r="S6" s="16"/>
      <c r="T6" s="35"/>
      <c r="U6" s="5"/>
      <c r="V6" s="5"/>
      <c r="W6" s="5"/>
      <c r="X6" s="15"/>
      <c r="Y6" s="13"/>
    </row>
    <row r="7" spans="1:25" ht="15.75" customHeight="1" x14ac:dyDescent="0.2">
      <c r="A7" s="75">
        <f>A6+7</f>
        <v>46100</v>
      </c>
      <c r="B7" s="2" t="s">
        <v>190</v>
      </c>
      <c r="C7" s="26" t="s">
        <v>198</v>
      </c>
      <c r="D7" s="27" t="s">
        <v>278</v>
      </c>
      <c r="E7">
        <v>8</v>
      </c>
      <c r="F7" s="16" t="s">
        <v>343</v>
      </c>
      <c r="G7" s="14" t="s">
        <v>77</v>
      </c>
      <c r="H7" s="5" t="s">
        <v>101</v>
      </c>
      <c r="I7" s="98" t="s">
        <v>408</v>
      </c>
      <c r="J7" s="98" t="s">
        <v>409</v>
      </c>
      <c r="K7" s="102" t="s">
        <v>344</v>
      </c>
      <c r="L7" s="24" t="s">
        <v>345</v>
      </c>
      <c r="M7" s="24" t="s">
        <v>346</v>
      </c>
      <c r="N7" s="16"/>
      <c r="O7" s="35"/>
      <c r="P7" s="5"/>
      <c r="Q7" s="5"/>
      <c r="R7" s="5"/>
      <c r="S7" s="16"/>
      <c r="T7" s="35"/>
      <c r="U7" s="5"/>
      <c r="V7" s="5"/>
      <c r="W7" s="5"/>
      <c r="X7" s="15"/>
      <c r="Y7" s="13"/>
    </row>
    <row r="8" spans="1:25" ht="17.25" customHeight="1" x14ac:dyDescent="0.2">
      <c r="A8" s="75">
        <f>A6+14</f>
        <v>46107</v>
      </c>
      <c r="B8" s="2" t="s">
        <v>190</v>
      </c>
      <c r="C8" s="26" t="str">
        <f t="shared" si="0"/>
        <v>Mar</v>
      </c>
      <c r="D8" s="27" t="str">
        <f t="shared" si="1"/>
        <v>Thursday</v>
      </c>
      <c r="E8">
        <f>E6+2</f>
        <v>9</v>
      </c>
      <c r="F8" s="16" t="s">
        <v>347</v>
      </c>
      <c r="G8" s="14" t="s">
        <v>52</v>
      </c>
      <c r="H8" s="5" t="s">
        <v>87</v>
      </c>
      <c r="I8" s="98" t="s">
        <v>410</v>
      </c>
      <c r="J8" s="98" t="s">
        <v>411</v>
      </c>
      <c r="K8" s="102"/>
      <c r="L8" s="5"/>
      <c r="M8" s="5"/>
      <c r="N8" s="16"/>
      <c r="O8" s="35"/>
      <c r="P8" s="5"/>
      <c r="Q8" s="5"/>
      <c r="R8" s="5"/>
      <c r="S8" s="16"/>
      <c r="T8" s="35"/>
      <c r="U8" s="5"/>
      <c r="V8" s="5"/>
      <c r="W8" s="5"/>
      <c r="X8" s="15"/>
      <c r="Y8" s="13"/>
    </row>
    <row r="9" spans="1:25" ht="18" customHeight="1" x14ac:dyDescent="0.2">
      <c r="A9" s="75">
        <f>A8+7</f>
        <v>46114</v>
      </c>
      <c r="B9" s="2" t="s">
        <v>190</v>
      </c>
      <c r="C9" s="26" t="s">
        <v>209</v>
      </c>
      <c r="D9" s="27" t="s">
        <v>278</v>
      </c>
      <c r="E9">
        <v>10</v>
      </c>
      <c r="F9" s="16" t="s">
        <v>348</v>
      </c>
      <c r="G9" s="14" t="s">
        <v>349</v>
      </c>
      <c r="H9" s="5" t="s">
        <v>101</v>
      </c>
      <c r="I9" s="98" t="s">
        <v>350</v>
      </c>
      <c r="J9" s="98" t="s">
        <v>351</v>
      </c>
      <c r="K9" s="102" t="s">
        <v>352</v>
      </c>
      <c r="L9" s="24" t="s">
        <v>353</v>
      </c>
      <c r="M9" s="24" t="s">
        <v>354</v>
      </c>
      <c r="N9" s="16"/>
      <c r="O9" s="35"/>
      <c r="P9" s="5"/>
      <c r="Q9" s="5"/>
      <c r="R9" s="5"/>
      <c r="S9" s="16"/>
      <c r="T9" s="35"/>
      <c r="U9" s="5"/>
      <c r="V9" s="5"/>
      <c r="W9" s="5"/>
      <c r="X9" s="15"/>
      <c r="Y9" s="13"/>
    </row>
    <row r="10" spans="1:25" x14ac:dyDescent="0.2">
      <c r="A10" s="75">
        <v>46120</v>
      </c>
      <c r="B10" s="2" t="s">
        <v>190</v>
      </c>
      <c r="C10" s="26" t="str">
        <f t="shared" si="0"/>
        <v>Apr</v>
      </c>
      <c r="D10" s="27" t="str">
        <f t="shared" si="1"/>
        <v>Wednesday</v>
      </c>
      <c r="E10">
        <v>11</v>
      </c>
      <c r="F10" s="16" t="s">
        <v>355</v>
      </c>
      <c r="G10" s="14" t="s">
        <v>77</v>
      </c>
      <c r="H10" s="5" t="s">
        <v>87</v>
      </c>
      <c r="I10" s="98" t="s">
        <v>342</v>
      </c>
      <c r="J10" s="98" t="s">
        <v>342</v>
      </c>
      <c r="K10" s="102"/>
      <c r="L10" s="5"/>
      <c r="M10" s="5"/>
      <c r="N10" s="16"/>
      <c r="O10" s="35"/>
      <c r="P10" s="5"/>
      <c r="Q10" s="5"/>
      <c r="R10" s="5"/>
      <c r="S10" s="16"/>
      <c r="T10" s="35"/>
      <c r="U10" s="5"/>
      <c r="V10" s="5"/>
      <c r="W10" s="5"/>
      <c r="X10" s="15"/>
      <c r="Y10" s="13"/>
    </row>
    <row r="11" spans="1:25" x14ac:dyDescent="0.2">
      <c r="A11" s="75">
        <f>A10+7</f>
        <v>46127</v>
      </c>
      <c r="B11" s="2" t="s">
        <v>190</v>
      </c>
      <c r="C11" s="26" t="str">
        <f t="shared" ref="C11" si="3">TEXT(A11, "mmm")</f>
        <v>Apr</v>
      </c>
      <c r="D11" s="27" t="str">
        <f t="shared" ref="D11" si="4">TEXT(A11, "dddd")</f>
        <v>Wednesday</v>
      </c>
      <c r="E11">
        <v>12</v>
      </c>
      <c r="F11" s="16" t="s">
        <v>356</v>
      </c>
      <c r="G11" s="14" t="s">
        <v>195</v>
      </c>
      <c r="H11" s="5" t="s">
        <v>78</v>
      </c>
      <c r="I11" s="98" t="s">
        <v>342</v>
      </c>
      <c r="J11" s="98" t="s">
        <v>342</v>
      </c>
      <c r="K11" s="102" t="s">
        <v>357</v>
      </c>
      <c r="L11" s="5"/>
      <c r="M11" s="24" t="s">
        <v>358</v>
      </c>
      <c r="N11" s="16"/>
      <c r="O11" s="35"/>
      <c r="P11" s="5"/>
      <c r="Q11" s="5"/>
      <c r="R11" s="5"/>
      <c r="S11" s="16"/>
      <c r="T11" s="35"/>
      <c r="U11" s="5"/>
      <c r="V11" s="5"/>
      <c r="W11" s="5"/>
      <c r="X11" s="15"/>
      <c r="Y11" s="13"/>
    </row>
    <row r="12" spans="1:25" ht="18.75" customHeight="1" x14ac:dyDescent="0.2">
      <c r="A12" s="75">
        <v>46135</v>
      </c>
      <c r="B12" s="2" t="s">
        <v>190</v>
      </c>
      <c r="C12" s="26" t="s">
        <v>209</v>
      </c>
      <c r="D12" s="27" t="s">
        <v>278</v>
      </c>
      <c r="E12">
        <v>13</v>
      </c>
      <c r="F12" s="16" t="s">
        <v>359</v>
      </c>
      <c r="G12" s="14" t="s">
        <v>73</v>
      </c>
      <c r="H12" s="5" t="s">
        <v>95</v>
      </c>
      <c r="I12" s="98" t="s">
        <v>342</v>
      </c>
      <c r="J12" s="98" t="s">
        <v>342</v>
      </c>
      <c r="K12" s="102"/>
      <c r="L12" s="5"/>
      <c r="M12" s="5"/>
      <c r="N12" s="16"/>
      <c r="O12" s="35"/>
      <c r="P12" s="5"/>
      <c r="Q12" s="5"/>
      <c r="R12" s="5"/>
      <c r="S12" s="16"/>
      <c r="T12" s="35"/>
      <c r="U12" s="5"/>
      <c r="V12" s="5"/>
      <c r="W12" s="5"/>
      <c r="X12" s="15"/>
      <c r="Y12" s="13"/>
    </row>
    <row r="13" spans="1:25" x14ac:dyDescent="0.2">
      <c r="A13" s="26"/>
      <c r="B13" s="26"/>
      <c r="C13" s="26"/>
      <c r="X13" s="20"/>
      <c r="Y13" s="18"/>
    </row>
    <row r="14" spans="1:25" ht="12.75" customHeight="1" x14ac:dyDescent="0.2">
      <c r="A14" s="26"/>
      <c r="B14" s="26"/>
      <c r="C14" s="26"/>
    </row>
    <row r="15" spans="1:25" x14ac:dyDescent="0.2">
      <c r="A15" s="26"/>
      <c r="B15" s="26"/>
      <c r="C15" s="26"/>
    </row>
    <row r="16" spans="1:25" x14ac:dyDescent="0.2">
      <c r="A16" s="26"/>
      <c r="B16" s="26"/>
      <c r="C16" s="26"/>
    </row>
  </sheetData>
  <protectedRanges>
    <protectedRange algorithmName="SHA-512" hashValue="pQyTzP/d7t5ThMimBt5mu8gGozgAm1OwF6BMILsn5/kmtZ5mZf81NMi09wwU8mvtItxf0EVNWa6V4MCa0DKeSQ==" saltValue="NzZBiAQ1yFjat+SeIqh2Uw==" spinCount="100000" sqref="A3:E16"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2" name="Range6_1"/>
    <protectedRange algorithmName="SHA-512" hashValue="BKDH3ki5lE3XQdc5qZnIH6o8wW8E0PkHgMZFCkv/XYDEa+b/qenui0oReDIqPDXHceUVJ+rEgU3I9CDBHraDYg==" saltValue="ruXqG4NOhhm7cSLor8wHfw==" spinCount="100000" sqref="O2:O12" name="Range7_1"/>
    <protectedRange sqref="X13:Y13 F3:Y12"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1" r:id="rId4" xr:uid="{CA8FFAFE-0C05-4395-B597-29714402C65D}"/>
    <hyperlink ref="K11"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x14ac:dyDescent="0.2"/>
  <cols>
    <col min="1" max="1" width="12.5078125" customWidth="1"/>
    <col min="2" max="2" width="11.1640625" bestFit="1" customWidth="1"/>
    <col min="3" max="3" width="17.08203125" customWidth="1"/>
    <col min="4" max="4" width="11.02734375" customWidth="1"/>
    <col min="6" max="6" width="33.359375" customWidth="1"/>
    <col min="7" max="7" width="30.8046875" customWidth="1"/>
    <col min="8" max="8" width="21.25390625" bestFit="1" customWidth="1"/>
    <col min="9" max="9" width="36.58984375" bestFit="1" customWidth="1"/>
    <col min="10" max="10" width="31.87890625" customWidth="1"/>
    <col min="11" max="11" width="20.4453125" customWidth="1"/>
    <col min="12" max="13" width="12.5078125" customWidth="1"/>
    <col min="14" max="14" width="43.1796875" customWidth="1"/>
    <col min="15" max="15" width="19.7734375" bestFit="1" customWidth="1"/>
    <col min="16" max="16" width="36.58984375" customWidth="1"/>
    <col min="17" max="17" width="9.68359375" bestFit="1" customWidth="1"/>
    <col min="18" max="18" width="11.97265625" bestFit="1" customWidth="1"/>
    <col min="19" max="19" width="11.703125" bestFit="1" customWidth="1"/>
    <col min="20" max="20" width="15.33203125" bestFit="1" customWidth="1"/>
    <col min="21" max="21" width="18.6953125" bestFit="1" customWidth="1"/>
    <col min="22" max="22" width="39.01171875" bestFit="1" customWidth="1"/>
    <col min="23" max="23" width="28.3828125" bestFit="1" customWidth="1"/>
    <col min="24" max="24" width="26.6328125" bestFit="1" customWidth="1"/>
    <col min="25" max="25" width="37.80078125" bestFit="1" customWidth="1"/>
  </cols>
  <sheetData>
    <row r="1" spans="1:25" ht="15.75" thickBot="1" x14ac:dyDescent="0.25">
      <c r="A1" t="s">
        <v>0</v>
      </c>
      <c r="P1" t="s">
        <v>1</v>
      </c>
      <c r="U1" t="s">
        <v>2</v>
      </c>
    </row>
    <row r="2" spans="1:25" ht="28.5" thickBot="1" x14ac:dyDescent="0.25">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x14ac:dyDescent="0.2">
      <c r="A3" s="75">
        <v>46275</v>
      </c>
      <c r="B3" s="77" t="s">
        <v>190</v>
      </c>
      <c r="C3" s="29" t="str">
        <f>TEXT(A3, "mmm")</f>
        <v>Sep</v>
      </c>
      <c r="D3" s="55" t="str">
        <f>TEXT(A3, "dddd")</f>
        <v>Thursday</v>
      </c>
      <c r="E3">
        <v>1</v>
      </c>
      <c r="F3" s="16" t="s">
        <v>360</v>
      </c>
      <c r="G3" s="14" t="s">
        <v>342</v>
      </c>
      <c r="H3" s="14" t="s">
        <v>342</v>
      </c>
      <c r="I3" s="98" t="s">
        <v>342</v>
      </c>
      <c r="J3" s="98" t="s">
        <v>342</v>
      </c>
      <c r="K3" s="73"/>
      <c r="L3" s="40"/>
      <c r="M3" s="40"/>
      <c r="N3" s="38"/>
      <c r="O3" s="35"/>
      <c r="P3" s="40"/>
      <c r="Q3" s="40"/>
      <c r="R3" s="40"/>
      <c r="S3" s="38"/>
      <c r="T3" s="35"/>
      <c r="U3" s="40"/>
      <c r="V3" s="40"/>
      <c r="W3" s="40"/>
      <c r="X3" s="46"/>
      <c r="Y3" s="44"/>
    </row>
    <row r="4" spans="1:25" ht="15.75" customHeight="1" x14ac:dyDescent="0.2">
      <c r="A4" s="75">
        <f>A3+14</f>
        <v>46289</v>
      </c>
      <c r="B4" s="2" t="s">
        <v>190</v>
      </c>
      <c r="C4" s="26" t="str">
        <f t="shared" ref="C4:C7" si="0">TEXT(A4, "mmm")</f>
        <v>Sep</v>
      </c>
      <c r="D4" s="27" t="str">
        <f t="shared" ref="D4:D8" si="1">TEXT(A4, "dddd")</f>
        <v>Thursday</v>
      </c>
      <c r="E4">
        <f>E3+2</f>
        <v>3</v>
      </c>
      <c r="F4" s="16" t="s">
        <v>360</v>
      </c>
      <c r="G4" s="14" t="s">
        <v>342</v>
      </c>
      <c r="H4" s="5" t="s">
        <v>342</v>
      </c>
      <c r="I4" s="98" t="s">
        <v>342</v>
      </c>
      <c r="J4" s="98" t="s">
        <v>342</v>
      </c>
      <c r="K4" s="102"/>
      <c r="L4" s="5"/>
      <c r="M4" s="5"/>
      <c r="N4" s="16"/>
      <c r="O4" s="35"/>
      <c r="P4" s="5"/>
      <c r="Q4" s="5"/>
      <c r="R4" s="5"/>
      <c r="S4" s="16"/>
      <c r="T4" s="35"/>
      <c r="U4" s="5"/>
      <c r="V4" s="5"/>
      <c r="W4" s="5"/>
      <c r="X4" s="15"/>
      <c r="Y4" s="13"/>
    </row>
    <row r="5" spans="1:25" x14ac:dyDescent="0.2">
      <c r="A5" s="75">
        <f t="shared" ref="A5" si="2">A4+14</f>
        <v>46303</v>
      </c>
      <c r="B5" s="2" t="s">
        <v>190</v>
      </c>
      <c r="C5" s="26" t="str">
        <f t="shared" si="0"/>
        <v>Oct</v>
      </c>
      <c r="D5" s="27" t="str">
        <f t="shared" si="1"/>
        <v>Thursday</v>
      </c>
      <c r="E5">
        <f t="shared" ref="E5:E6" si="3">E4+2</f>
        <v>5</v>
      </c>
      <c r="F5" s="16" t="s">
        <v>360</v>
      </c>
      <c r="G5" s="14" t="s">
        <v>342</v>
      </c>
      <c r="H5" s="14" t="s">
        <v>342</v>
      </c>
      <c r="I5" s="98" t="s">
        <v>342</v>
      </c>
      <c r="J5" s="98" t="s">
        <v>342</v>
      </c>
      <c r="K5" s="102"/>
      <c r="L5" s="5"/>
      <c r="M5" s="5"/>
      <c r="N5" s="16"/>
      <c r="O5" s="35" t="s">
        <v>339</v>
      </c>
      <c r="P5" s="5" t="s">
        <v>340</v>
      </c>
      <c r="Q5" s="5"/>
      <c r="R5" s="5"/>
      <c r="S5" s="16"/>
      <c r="T5" s="35"/>
      <c r="U5" s="5"/>
      <c r="V5" s="5"/>
      <c r="W5" s="5"/>
      <c r="X5" s="15"/>
      <c r="Y5" s="13"/>
    </row>
    <row r="6" spans="1:25" ht="15.75" customHeight="1" x14ac:dyDescent="0.2">
      <c r="A6" s="75">
        <f>A5+14</f>
        <v>46317</v>
      </c>
      <c r="B6" s="2" t="s">
        <v>190</v>
      </c>
      <c r="C6" s="26" t="str">
        <f t="shared" si="0"/>
        <v>Oct</v>
      </c>
      <c r="D6" s="27" t="str">
        <f t="shared" si="1"/>
        <v>Thursday</v>
      </c>
      <c r="E6">
        <f t="shared" si="3"/>
        <v>7</v>
      </c>
      <c r="F6" s="16" t="s">
        <v>360</v>
      </c>
      <c r="G6" s="14" t="s">
        <v>342</v>
      </c>
      <c r="H6" s="14" t="s">
        <v>342</v>
      </c>
      <c r="I6" s="98" t="s">
        <v>342</v>
      </c>
      <c r="J6" s="98" t="s">
        <v>342</v>
      </c>
      <c r="K6" s="102"/>
      <c r="L6" s="5"/>
      <c r="M6" s="5"/>
      <c r="N6" s="16"/>
      <c r="O6" s="35"/>
      <c r="P6" s="5"/>
      <c r="Q6" s="5"/>
      <c r="R6" s="5"/>
      <c r="S6" s="16"/>
      <c r="T6" s="35"/>
      <c r="U6" s="5"/>
      <c r="V6" s="5"/>
      <c r="W6" s="5"/>
      <c r="X6" s="15"/>
      <c r="Y6" s="13"/>
    </row>
    <row r="7" spans="1:25" x14ac:dyDescent="0.2">
      <c r="A7" s="75">
        <f>A6+14</f>
        <v>46331</v>
      </c>
      <c r="B7" s="2" t="s">
        <v>190</v>
      </c>
      <c r="C7" s="26" t="str">
        <f t="shared" si="0"/>
        <v>Nov</v>
      </c>
      <c r="D7" s="27" t="str">
        <f t="shared" si="1"/>
        <v>Thursday</v>
      </c>
      <c r="E7">
        <f>E6+2</f>
        <v>9</v>
      </c>
      <c r="F7" s="16" t="s">
        <v>360</v>
      </c>
      <c r="G7" s="14" t="s">
        <v>342</v>
      </c>
      <c r="H7" s="14" t="s">
        <v>342</v>
      </c>
      <c r="I7" s="98" t="s">
        <v>342</v>
      </c>
      <c r="J7" s="98" t="s">
        <v>342</v>
      </c>
      <c r="K7" s="102"/>
      <c r="L7" s="5"/>
      <c r="M7" s="5"/>
      <c r="N7" s="16"/>
      <c r="O7" s="35"/>
      <c r="P7" s="5"/>
      <c r="Q7" s="5"/>
      <c r="R7" s="5"/>
      <c r="S7" s="16"/>
      <c r="T7" s="35"/>
      <c r="U7" s="5"/>
      <c r="V7" s="5"/>
      <c r="W7" s="5"/>
      <c r="X7" s="15"/>
      <c r="Y7" s="13"/>
    </row>
    <row r="8" spans="1:25" x14ac:dyDescent="0.2">
      <c r="A8" s="75">
        <f>A7+14</f>
        <v>46345</v>
      </c>
      <c r="B8" s="2" t="s">
        <v>190</v>
      </c>
      <c r="C8" s="26" t="s">
        <v>209</v>
      </c>
      <c r="D8" s="27" t="str">
        <f t="shared" si="1"/>
        <v>Thursday</v>
      </c>
      <c r="E8">
        <v>11</v>
      </c>
      <c r="F8" s="16" t="s">
        <v>360</v>
      </c>
      <c r="G8" s="14" t="s">
        <v>342</v>
      </c>
      <c r="H8" s="14" t="s">
        <v>342</v>
      </c>
      <c r="I8" s="98" t="s">
        <v>342</v>
      </c>
      <c r="J8" s="98" t="s">
        <v>342</v>
      </c>
      <c r="K8" s="102"/>
      <c r="L8" s="5"/>
      <c r="M8" s="5"/>
      <c r="N8" s="16"/>
      <c r="O8" s="35"/>
      <c r="P8" s="5"/>
      <c r="Q8" s="5"/>
      <c r="R8" s="5"/>
      <c r="S8" s="16"/>
      <c r="T8" s="35"/>
      <c r="U8" s="5"/>
      <c r="V8" s="5"/>
      <c r="W8" s="5"/>
      <c r="X8" s="15"/>
      <c r="Y8" s="13"/>
    </row>
    <row r="9" spans="1:25" ht="18.75" customHeight="1" x14ac:dyDescent="0.2">
      <c r="A9" s="75">
        <v>46121</v>
      </c>
      <c r="B9" s="2" t="s">
        <v>190</v>
      </c>
      <c r="C9" s="26" t="s">
        <v>361</v>
      </c>
      <c r="D9" s="27" t="s">
        <v>278</v>
      </c>
      <c r="E9">
        <v>13</v>
      </c>
      <c r="F9" s="16" t="s">
        <v>360</v>
      </c>
      <c r="G9" s="14" t="s">
        <v>342</v>
      </c>
      <c r="H9" s="14" t="s">
        <v>342</v>
      </c>
      <c r="I9" s="98" t="s">
        <v>342</v>
      </c>
      <c r="J9" s="98" t="s">
        <v>342</v>
      </c>
      <c r="K9" s="102"/>
      <c r="L9" s="5"/>
      <c r="M9" s="5"/>
      <c r="N9" s="16"/>
      <c r="O9" s="35"/>
      <c r="P9" s="5"/>
      <c r="Q9" s="5"/>
      <c r="R9" s="5"/>
      <c r="S9" s="16"/>
      <c r="T9" s="35"/>
      <c r="U9" s="5"/>
      <c r="V9" s="5"/>
      <c r="W9" s="5"/>
      <c r="X9" s="15"/>
      <c r="Y9" s="13"/>
    </row>
    <row r="10" spans="1:25" ht="15.75" thickBot="1" x14ac:dyDescent="0.25">
      <c r="A10" s="26"/>
      <c r="B10" s="26"/>
      <c r="C10" s="26"/>
      <c r="X10" s="20"/>
      <c r="Y10" s="18"/>
    </row>
    <row r="11" spans="1:25" ht="12.75" customHeight="1" x14ac:dyDescent="0.2">
      <c r="A11" s="26"/>
      <c r="B11" s="26"/>
      <c r="C11" s="26"/>
    </row>
    <row r="12" spans="1:25" x14ac:dyDescent="0.2">
      <c r="A12" s="26"/>
      <c r="B12" s="26"/>
      <c r="C12" s="26"/>
    </row>
    <row r="13" spans="1:25" x14ac:dyDescent="0.2">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19"/>
  <sheetViews>
    <sheetView workbookViewId="0">
      <selection activeCell="A23" sqref="A23:C25"/>
    </sheetView>
  </sheetViews>
  <sheetFormatPr defaultRowHeight="15" x14ac:dyDescent="0.2"/>
  <cols>
    <col min="1" max="1" width="31.34375" customWidth="1"/>
    <col min="2" max="2" width="25.9609375" customWidth="1"/>
    <col min="3" max="3" width="20.17578125" customWidth="1"/>
  </cols>
  <sheetData>
    <row r="1" spans="1:3" x14ac:dyDescent="0.2">
      <c r="A1" t="s">
        <v>362</v>
      </c>
    </row>
    <row r="2" spans="1:3" x14ac:dyDescent="0.2">
      <c r="A2" s="55" t="s">
        <v>363</v>
      </c>
      <c r="B2" s="54" t="s">
        <v>364</v>
      </c>
      <c r="C2" s="54" t="s">
        <v>365</v>
      </c>
    </row>
    <row r="3" spans="1:3" x14ac:dyDescent="0.2">
      <c r="A3" s="136" t="s">
        <v>366</v>
      </c>
      <c r="B3" s="137"/>
      <c r="C3" s="138" t="s">
        <v>224</v>
      </c>
    </row>
    <row r="4" spans="1:3" x14ac:dyDescent="0.2">
      <c r="A4" s="5" t="s">
        <v>367</v>
      </c>
      <c r="B4" s="52"/>
      <c r="C4" s="50" t="s">
        <v>31</v>
      </c>
    </row>
    <row r="5" spans="1:3" x14ac:dyDescent="0.2">
      <c r="A5" s="52" t="s">
        <v>368</v>
      </c>
      <c r="B5" s="52"/>
      <c r="C5" s="50" t="s">
        <v>369</v>
      </c>
    </row>
    <row r="6" spans="1:3" x14ac:dyDescent="0.2">
      <c r="A6" s="52" t="s">
        <v>370</v>
      </c>
      <c r="B6" s="52" t="s">
        <v>371</v>
      </c>
      <c r="C6" s="50" t="s">
        <v>87</v>
      </c>
    </row>
    <row r="7" spans="1:3" x14ac:dyDescent="0.2">
      <c r="A7" s="52" t="s">
        <v>372</v>
      </c>
      <c r="B7" s="52" t="s">
        <v>373</v>
      </c>
      <c r="C7" s="50" t="s">
        <v>87</v>
      </c>
    </row>
    <row r="8" spans="1:3" x14ac:dyDescent="0.2">
      <c r="A8" s="52" t="s">
        <v>374</v>
      </c>
      <c r="B8" s="52" t="s">
        <v>375</v>
      </c>
      <c r="C8" s="50" t="s">
        <v>101</v>
      </c>
    </row>
    <row r="9" spans="1:3" x14ac:dyDescent="0.2">
      <c r="A9" s="52" t="s">
        <v>376</v>
      </c>
      <c r="B9" s="52"/>
      <c r="C9" s="50"/>
    </row>
    <row r="10" spans="1:3" x14ac:dyDescent="0.2">
      <c r="A10" s="52" t="s">
        <v>377</v>
      </c>
      <c r="B10" s="52" t="s">
        <v>378</v>
      </c>
      <c r="C10" s="50" t="s">
        <v>379</v>
      </c>
    </row>
    <row r="11" spans="1:3" x14ac:dyDescent="0.2">
      <c r="A11" s="52" t="s">
        <v>380</v>
      </c>
      <c r="B11" s="52" t="s">
        <v>381</v>
      </c>
      <c r="C11" s="50" t="s">
        <v>382</v>
      </c>
    </row>
    <row r="12" spans="1:3" x14ac:dyDescent="0.2">
      <c r="A12" s="52" t="s">
        <v>383</v>
      </c>
      <c r="B12" s="52" t="s">
        <v>384</v>
      </c>
      <c r="C12" s="50" t="s">
        <v>382</v>
      </c>
    </row>
    <row r="13" spans="1:3" x14ac:dyDescent="0.2">
      <c r="A13" s="52" t="s">
        <v>385</v>
      </c>
      <c r="B13" s="52" t="s">
        <v>386</v>
      </c>
      <c r="C13" s="50" t="s">
        <v>382</v>
      </c>
    </row>
    <row r="14" spans="1:3" x14ac:dyDescent="0.2">
      <c r="A14" s="52" t="s">
        <v>387</v>
      </c>
      <c r="B14" s="52" t="s">
        <v>388</v>
      </c>
      <c r="C14" s="50" t="s">
        <v>382</v>
      </c>
    </row>
    <row r="15" spans="1:3" x14ac:dyDescent="0.2">
      <c r="A15" s="52" t="s">
        <v>389</v>
      </c>
      <c r="B15" s="52" t="s">
        <v>390</v>
      </c>
      <c r="C15" s="50" t="s">
        <v>382</v>
      </c>
    </row>
    <row r="16" spans="1:3" x14ac:dyDescent="0.2">
      <c r="A16" s="137" t="s">
        <v>321</v>
      </c>
      <c r="B16" s="137" t="s">
        <v>391</v>
      </c>
      <c r="C16" s="139" t="s">
        <v>392</v>
      </c>
    </row>
    <row r="17" spans="1:3" x14ac:dyDescent="0.2">
      <c r="A17" s="137" t="s">
        <v>343</v>
      </c>
      <c r="B17" s="137" t="s">
        <v>393</v>
      </c>
      <c r="C17" s="139" t="s">
        <v>392</v>
      </c>
    </row>
    <row r="18" spans="1:3" x14ac:dyDescent="0.2">
      <c r="A18" s="52" t="s">
        <v>394</v>
      </c>
      <c r="B18" s="52" t="s">
        <v>371</v>
      </c>
      <c r="C18" s="50" t="s">
        <v>87</v>
      </c>
    </row>
    <row r="19" spans="1:3" x14ac:dyDescent="0.2">
      <c r="A19" s="53" t="s">
        <v>395</v>
      </c>
      <c r="B19" s="53" t="s">
        <v>230</v>
      </c>
      <c r="C19" s="51" t="s">
        <v>396</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2" sqref="C12"/>
    </sheetView>
  </sheetViews>
  <sheetFormatPr defaultRowHeight="15" x14ac:dyDescent="0.2"/>
  <cols>
    <col min="1" max="1" width="17.890625" customWidth="1"/>
    <col min="6" max="6" width="14.52734375" customWidth="1"/>
  </cols>
  <sheetData>
    <row r="1" spans="1:9" ht="15.75" thickBot="1" x14ac:dyDescent="0.25">
      <c r="A1" s="135" t="s">
        <v>3</v>
      </c>
      <c r="B1" s="131" t="s">
        <v>397</v>
      </c>
      <c r="C1" s="130" t="s">
        <v>398</v>
      </c>
    </row>
    <row r="2" spans="1:9" x14ac:dyDescent="0.2">
      <c r="A2" s="169">
        <v>46051</v>
      </c>
      <c r="B2" s="170">
        <v>1</v>
      </c>
      <c r="C2" s="170" t="s">
        <v>399</v>
      </c>
      <c r="F2" s="75"/>
      <c r="G2" s="77"/>
      <c r="H2" s="29"/>
      <c r="I2" s="55"/>
    </row>
    <row r="3" spans="1:9" x14ac:dyDescent="0.2">
      <c r="A3" s="171">
        <f>A2+7</f>
        <v>46058</v>
      </c>
      <c r="B3" s="170">
        <f>B2+1</f>
        <v>2</v>
      </c>
      <c r="C3" s="170" t="s">
        <v>360</v>
      </c>
      <c r="F3" s="75"/>
      <c r="G3" s="2"/>
      <c r="H3" s="26"/>
      <c r="I3" s="27"/>
    </row>
    <row r="4" spans="1:9" x14ac:dyDescent="0.2">
      <c r="A4" s="171">
        <f t="shared" ref="A4:A12" si="0">A3+7</f>
        <v>46065</v>
      </c>
      <c r="B4" s="170">
        <f t="shared" ref="B4:B11" si="1">B3+1</f>
        <v>3</v>
      </c>
      <c r="C4" s="170" t="s">
        <v>399</v>
      </c>
      <c r="F4" s="75"/>
      <c r="G4" s="2"/>
      <c r="H4" s="26"/>
      <c r="I4" s="27"/>
    </row>
    <row r="5" spans="1:9" x14ac:dyDescent="0.2">
      <c r="A5" s="171">
        <f t="shared" si="0"/>
        <v>46072</v>
      </c>
      <c r="B5" s="170">
        <f t="shared" si="1"/>
        <v>4</v>
      </c>
      <c r="C5" s="170" t="s">
        <v>360</v>
      </c>
      <c r="F5" s="75"/>
      <c r="G5" s="2"/>
      <c r="H5" s="26"/>
      <c r="I5" s="27"/>
    </row>
    <row r="6" spans="1:9" x14ac:dyDescent="0.2">
      <c r="A6" s="133">
        <f t="shared" si="0"/>
        <v>46079</v>
      </c>
      <c r="B6" s="134">
        <f t="shared" si="1"/>
        <v>5</v>
      </c>
      <c r="C6" s="134" t="s">
        <v>399</v>
      </c>
      <c r="F6" s="75"/>
      <c r="G6" s="2"/>
      <c r="H6" s="26"/>
      <c r="I6" s="27"/>
    </row>
    <row r="7" spans="1:9" x14ac:dyDescent="0.2">
      <c r="A7" s="133">
        <f t="shared" si="0"/>
        <v>46086</v>
      </c>
      <c r="B7" s="134">
        <f t="shared" si="1"/>
        <v>6</v>
      </c>
      <c r="C7" s="134" t="s">
        <v>360</v>
      </c>
      <c r="F7" s="75"/>
      <c r="G7" s="2"/>
      <c r="H7" s="26"/>
      <c r="I7" s="27"/>
    </row>
    <row r="8" spans="1:9" x14ac:dyDescent="0.2">
      <c r="A8" s="133">
        <f t="shared" si="0"/>
        <v>46093</v>
      </c>
      <c r="B8" s="134">
        <f t="shared" si="1"/>
        <v>7</v>
      </c>
      <c r="C8" s="134" t="s">
        <v>400</v>
      </c>
      <c r="F8" s="75"/>
      <c r="G8" s="2"/>
      <c r="H8" s="26"/>
      <c r="I8" s="27"/>
    </row>
    <row r="9" spans="1:9" x14ac:dyDescent="0.2">
      <c r="A9" s="133">
        <f t="shared" si="0"/>
        <v>46100</v>
      </c>
      <c r="B9" s="134">
        <f t="shared" si="1"/>
        <v>8</v>
      </c>
      <c r="C9" s="134" t="s">
        <v>399</v>
      </c>
      <c r="F9" s="75"/>
      <c r="G9" s="2"/>
      <c r="H9" s="26"/>
      <c r="I9" s="27"/>
    </row>
    <row r="10" spans="1:9" x14ac:dyDescent="0.2">
      <c r="A10" s="133">
        <f t="shared" si="0"/>
        <v>46107</v>
      </c>
      <c r="B10" s="134">
        <f t="shared" si="1"/>
        <v>9</v>
      </c>
      <c r="C10" s="134" t="s">
        <v>400</v>
      </c>
      <c r="F10" s="75"/>
      <c r="G10" s="2"/>
      <c r="H10" s="26"/>
      <c r="I10" s="27"/>
    </row>
    <row r="11" spans="1:9" x14ac:dyDescent="0.2">
      <c r="A11" s="133">
        <f t="shared" si="0"/>
        <v>46114</v>
      </c>
      <c r="B11" s="134">
        <f t="shared" si="1"/>
        <v>10</v>
      </c>
      <c r="C11" s="134" t="s">
        <v>399</v>
      </c>
    </row>
    <row r="12" spans="1:9" x14ac:dyDescent="0.2">
      <c r="A12" s="133">
        <f t="shared" si="0"/>
        <v>46121</v>
      </c>
      <c r="B12" s="134">
        <f t="shared" ref="B12:B14" si="2">B11+1</f>
        <v>11</v>
      </c>
      <c r="C12" s="134" t="s">
        <v>399</v>
      </c>
    </row>
    <row r="13" spans="1:9" x14ac:dyDescent="0.2">
      <c r="A13" s="133">
        <f t="shared" ref="A13:A14" si="3">A12+7</f>
        <v>46128</v>
      </c>
      <c r="B13" s="134">
        <f t="shared" si="2"/>
        <v>12</v>
      </c>
      <c r="C13" s="134" t="s">
        <v>399</v>
      </c>
    </row>
    <row r="14" spans="1:9" x14ac:dyDescent="0.2">
      <c r="A14" s="133">
        <f t="shared" si="3"/>
        <v>46135</v>
      </c>
      <c r="B14" s="134">
        <f t="shared" si="2"/>
        <v>13</v>
      </c>
      <c r="C14" s="134" t="s">
        <v>399</v>
      </c>
    </row>
    <row r="15" spans="1:9" x14ac:dyDescent="0.2">
      <c r="A15" s="133"/>
      <c r="B15" s="134"/>
      <c r="C15" s="134"/>
    </row>
    <row r="16" spans="1:9" x14ac:dyDescent="0.2">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x14ac:dyDescent="0.2"/>
  <cols>
    <col min="1" max="1" width="16.41015625" customWidth="1"/>
    <col min="2" max="2" width="9.14453125" customWidth="1"/>
    <col min="3" max="3" width="14.66015625" customWidth="1"/>
    <col min="4" max="4" width="14.125" bestFit="1" customWidth="1"/>
    <col min="6" max="6" width="24.75" customWidth="1"/>
    <col min="7" max="7" width="38.203125" bestFit="1" customWidth="1"/>
    <col min="8" max="8" width="22.46484375" customWidth="1"/>
    <col min="9" max="9" width="64.703125" bestFit="1" customWidth="1"/>
  </cols>
  <sheetData>
    <row r="2" spans="1:9" ht="23.25" x14ac:dyDescent="0.3">
      <c r="A2" s="91" t="s">
        <v>401</v>
      </c>
    </row>
    <row r="3" spans="1:9" ht="18.75" x14ac:dyDescent="0.25">
      <c r="A3" s="79" t="s">
        <v>402</v>
      </c>
    </row>
    <row r="5" spans="1:9" ht="35.25" x14ac:dyDescent="0.25">
      <c r="A5" s="80" t="s">
        <v>3</v>
      </c>
      <c r="B5" s="80" t="s">
        <v>4</v>
      </c>
      <c r="C5" s="80" t="s">
        <v>5</v>
      </c>
      <c r="D5" s="80" t="s">
        <v>137</v>
      </c>
      <c r="E5" s="80" t="s">
        <v>189</v>
      </c>
      <c r="F5" s="80" t="s">
        <v>8</v>
      </c>
      <c r="G5" s="80" t="s">
        <v>9</v>
      </c>
      <c r="H5" s="82" t="s">
        <v>403</v>
      </c>
      <c r="I5" s="81" t="s">
        <v>11</v>
      </c>
    </row>
    <row r="6" spans="1:9" ht="18.75" x14ac:dyDescent="0.25">
      <c r="A6" s="92">
        <v>45694</v>
      </c>
      <c r="B6" s="92" t="s">
        <v>190</v>
      </c>
      <c r="C6" s="92" t="s">
        <v>191</v>
      </c>
      <c r="D6" s="93" t="s">
        <v>278</v>
      </c>
      <c r="E6" s="93">
        <v>2</v>
      </c>
      <c r="F6" s="85" t="s">
        <v>40</v>
      </c>
      <c r="G6" s="85" t="s">
        <v>68</v>
      </c>
      <c r="H6" s="85"/>
      <c r="I6" s="84" t="s">
        <v>342</v>
      </c>
    </row>
    <row r="7" spans="1:9" ht="18.75" x14ac:dyDescent="0.25">
      <c r="A7" s="83">
        <v>45708</v>
      </c>
      <c r="B7" s="83" t="s">
        <v>190</v>
      </c>
      <c r="C7" s="83" t="s">
        <v>191</v>
      </c>
      <c r="D7" s="94" t="s">
        <v>278</v>
      </c>
      <c r="E7" s="94">
        <v>4</v>
      </c>
      <c r="F7" s="87" t="s">
        <v>194</v>
      </c>
      <c r="G7" s="87" t="s">
        <v>195</v>
      </c>
      <c r="H7" s="87" t="s">
        <v>78</v>
      </c>
      <c r="I7" s="86" t="s">
        <v>196</v>
      </c>
    </row>
    <row r="8" spans="1:9" ht="18.75" x14ac:dyDescent="0.25">
      <c r="A8" s="83">
        <v>45722</v>
      </c>
      <c r="B8" s="83" t="s">
        <v>190</v>
      </c>
      <c r="C8" s="83" t="s">
        <v>198</v>
      </c>
      <c r="D8" s="94" t="s">
        <v>278</v>
      </c>
      <c r="E8" s="94">
        <v>6</v>
      </c>
      <c r="F8" s="87" t="s">
        <v>199</v>
      </c>
      <c r="G8" s="87" t="s">
        <v>68</v>
      </c>
      <c r="H8" s="87" t="s">
        <v>200</v>
      </c>
      <c r="I8" s="86"/>
    </row>
    <row r="9" spans="1:9" ht="18.75" x14ac:dyDescent="0.25">
      <c r="A9" s="83">
        <v>45735</v>
      </c>
      <c r="B9" s="83" t="s">
        <v>139</v>
      </c>
      <c r="C9" s="83" t="s">
        <v>198</v>
      </c>
      <c r="D9" s="94" t="s">
        <v>404</v>
      </c>
      <c r="E9" s="94">
        <v>8</v>
      </c>
      <c r="F9" s="87" t="s">
        <v>204</v>
      </c>
      <c r="G9" s="87" t="s">
        <v>205</v>
      </c>
      <c r="H9" s="87" t="s">
        <v>206</v>
      </c>
      <c r="I9" s="86" t="s">
        <v>342</v>
      </c>
    </row>
    <row r="10" spans="1:9" ht="18.75" x14ac:dyDescent="0.25">
      <c r="A10" s="83">
        <v>45744</v>
      </c>
      <c r="B10" s="83" t="s">
        <v>190</v>
      </c>
      <c r="C10" s="83" t="s">
        <v>198</v>
      </c>
      <c r="D10" s="94" t="s">
        <v>214</v>
      </c>
      <c r="E10" s="94">
        <v>9</v>
      </c>
      <c r="F10" s="87" t="s">
        <v>222</v>
      </c>
      <c r="G10" s="87" t="s">
        <v>223</v>
      </c>
      <c r="H10" s="87" t="s">
        <v>224</v>
      </c>
      <c r="I10" s="86"/>
    </row>
    <row r="11" spans="1:9" ht="18.75" x14ac:dyDescent="0.25">
      <c r="A11" s="83">
        <v>45750</v>
      </c>
      <c r="B11" s="83" t="s">
        <v>190</v>
      </c>
      <c r="C11" s="83" t="s">
        <v>209</v>
      </c>
      <c r="D11" s="94" t="s">
        <v>278</v>
      </c>
      <c r="E11" s="94">
        <v>10</v>
      </c>
      <c r="F11" s="87" t="s">
        <v>405</v>
      </c>
      <c r="G11" s="87" t="s">
        <v>68</v>
      </c>
      <c r="H11" s="87"/>
      <c r="I11" s="86" t="s">
        <v>342</v>
      </c>
    </row>
    <row r="12" spans="1:9" ht="18.75" x14ac:dyDescent="0.25">
      <c r="A12" s="83">
        <v>45758</v>
      </c>
      <c r="B12" s="83" t="s">
        <v>28</v>
      </c>
      <c r="C12" s="83" t="s">
        <v>209</v>
      </c>
      <c r="D12" s="94" t="s">
        <v>214</v>
      </c>
      <c r="E12" s="94">
        <v>11</v>
      </c>
      <c r="F12" s="87" t="s">
        <v>229</v>
      </c>
      <c r="G12" s="87" t="s">
        <v>172</v>
      </c>
      <c r="H12" s="87" t="s">
        <v>31</v>
      </c>
      <c r="I12" s="86" t="s">
        <v>342</v>
      </c>
    </row>
    <row r="13" spans="1:9" ht="18.75" x14ac:dyDescent="0.25">
      <c r="A13" s="83">
        <v>45764</v>
      </c>
      <c r="B13" s="83" t="s">
        <v>190</v>
      </c>
      <c r="C13" s="83" t="s">
        <v>209</v>
      </c>
      <c r="D13" s="94" t="s">
        <v>278</v>
      </c>
      <c r="E13" s="94">
        <v>12</v>
      </c>
      <c r="F13" s="87" t="s">
        <v>406</v>
      </c>
      <c r="G13" s="87"/>
      <c r="H13" s="87"/>
      <c r="I13" s="86"/>
    </row>
    <row r="14" spans="1:9" ht="18.75" x14ac:dyDescent="0.25">
      <c r="A14" s="88">
        <v>45771</v>
      </c>
      <c r="B14" s="88" t="s">
        <v>190</v>
      </c>
      <c r="C14" s="88" t="s">
        <v>209</v>
      </c>
      <c r="D14" s="95" t="s">
        <v>278</v>
      </c>
      <c r="E14" s="95">
        <v>13</v>
      </c>
      <c r="F14" s="90" t="s">
        <v>407</v>
      </c>
      <c r="G14" s="90" t="s">
        <v>77</v>
      </c>
      <c r="H14" s="90" t="s">
        <v>124</v>
      </c>
      <c r="I14" s="89" t="s">
        <v>239</v>
      </c>
    </row>
    <row r="20" spans="8:8" ht="18.75" x14ac:dyDescent="0.2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2" baseType="variant">
      <vt:variant>
        <vt:lpstr>Worksheets</vt:lpstr>
      </vt:variant>
      <vt:variant>
        <vt:i4>9</vt:i4>
      </vt:variant>
    </vt:vector>
  </HeadingPairs>
  <TitlesOfParts>
    <vt:vector size="9" baseType="lpstr">
      <vt:lpstr>AY2023-2024 Sem 2</vt:lpstr>
      <vt:lpstr>AY2024-2025 Sem 1</vt:lpstr>
      <vt:lpstr>AY2024-2025 Sem 2</vt:lpstr>
      <vt:lpstr>AY2025-2026 Sem 1</vt:lpstr>
      <vt:lpstr>AY2025-2026 Sem 2</vt:lpstr>
      <vt:lpstr>AY2026-2027 Sem 1</vt:lpstr>
      <vt:lpstr>Possbile speaker (reserve list)</vt:lpstr>
      <vt:lpstr>Open dates</vt:lpstr>
      <vt:lpstr>Printed A2002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2026-02-23T09:53:21Z</dcterms:modified>
  <cp:category/>
  <cp:contentStatus/>
</cp:coreProperties>
</file>