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39" documentId="13_ncr:1_{12BE53B5-C8C7-44FE-8280-19C653D9122E}" xr6:coauthVersionLast="47" xr6:coauthVersionMax="47" xr10:uidLastSave="{9876F86D-7C6A-49EB-90BB-E77292EC6928}"/>
  <bookViews>
    <workbookView xWindow="5220" yWindow="5175" windowWidth="21600" windowHeight="11295" firstSheet="3" activeTab="3"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9" i="9" s="1"/>
  <c r="E10"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9" i="9"/>
  <c r="D7" i="9"/>
  <c r="C7" i="9"/>
  <c r="A10" i="9" l="1"/>
  <c r="C9" i="9"/>
  <c r="D9" i="9"/>
  <c r="C8" i="1" l="1"/>
  <c r="D10" i="9"/>
  <c r="C10" i="9"/>
  <c r="C9" i="1" l="1"/>
  <c r="C10" i="1" l="1"/>
  <c r="C11" i="1" l="1"/>
  <c r="C12" i="1"/>
</calcChain>
</file>

<file path=xl/sharedStrings.xml><?xml version="1.0" encoding="utf-8"?>
<sst xmlns="http://schemas.openxmlformats.org/spreadsheetml/2006/main" count="925" uniqueCount="386">
  <si>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</si>
  <si>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</si>
  <si>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</si>
  <si>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</si>
  <si>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</si>
  <si>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</si>
  <si>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</si>
  <si>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</si>
  <si>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</si>
  <si>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</si>
  <si>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</si>
  <si>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</si>
  <si>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</si>
  <si>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</si>
  <si>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</si>
  <si>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</si>
  <si>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</si>
  <si>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</si>
  <si>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</si>
  <si>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</si>
  <si>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</si>
  <si>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</si>
  <si>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</si>
  <si>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</si>
  <si>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</si>
  <si>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</si>
  <si>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</si>
  <si>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</si>
  <si>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</si>
  <si>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</si>
  <si>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</si>
  <si>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</si>
  <si>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</si>
  <si>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</si>
  <si>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</si>
  <si>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</si>
  <si>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</si>
  <si>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</si>
  <si>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</si>
  <si>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</si>
  <si>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</si>
  <si>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</si>
  <si>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</si>
  <si>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</si>
  <si>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</si>
  <si>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</si>
  <si>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</si>
  <si>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</si>
  <si>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</si>
  <si>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</si>
  <si>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</si>
  <si>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</si>
  <si>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</si>
  <si>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</si>
  <si>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</si>
  <si>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</si>
  <si>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</si>
  <si>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</si>
  <si>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</si>
  <si>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</si>
  <si>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</si>
  <si>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</si>
  <si>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</si>
  <si>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</si>
  <si>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</si>
  <si>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</si>
  <si>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</si>
  <si>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</si>
  <si>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</si>
  <si>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</si>
  <si>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</si>
  <si>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</si>
  <si>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</si>
  <si>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</si>
  <si>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</si>
  <si>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</si>
  <si>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</si>
  <si>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</si>
  <si>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</si>
  <si>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</si>
  <si>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</si>
  <si>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</si>
  <si>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</si>
  <si>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</si>
  <si>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</si>
  <si>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</si>
  <si>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</si>
  <si>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</si>
  <si>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</si>
  <si>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</si>
  <si>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</si>
  <si>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</si>
  <si>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</si>
  <si>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</si>
  <si>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</si>
  <si>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</si>
  <si>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</si>
  <si>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</si>
  <si>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</si>
  <si>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</si>
  <si>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</si>
  <si>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</si>
  <si>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</si>
  <si>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</si>
  <si>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</si>
  <si>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</si>
  <si>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</si>
  <si>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</si>
  <si>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</si>
  <si>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</si>
  <si>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</si>
  <si>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</si>
  <si>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</si>
  <si>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</si>
  <si>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</si>
  <si>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</si>
  <si>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</si>
  <si>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</si>
  <si>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</si>
  <si>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</si>
  <si>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</si>
  <si>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</si>
  <si>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</si>
  <si>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</si>
  <si>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</si>
  <si>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</si>
  <si>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</si>
  <si>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</si>
  <si>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</si>
  <si>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</si>
  <si>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</si>
  <si>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</si>
  <si>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</si>
  <si>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</si>
  <si>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</si>
  <si>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</si>
  <si>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</si>
  <si>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</si>
  <si>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</si>
  <si>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</si>
  <si>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</si>
  <si>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</si>
  <si>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</si>
  <si>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</si>
  <si>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</si>
  <si>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</si>
  <si>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</si>
  <si>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</si>
  <si>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</si>
  <si>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</si>
  <si>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</si>
  <si>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</si>
  <si>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</si>
  <si>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</si>
  <si>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</si>
  <si>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</si>
  <si>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</si>
  <si>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</si>
  <si>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</si>
  <si>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</si>
  <si>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</si>
  <si>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</si>
  <si>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</si>
  <si>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</si>
  <si>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</si>
  <si>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</si>
  <si>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</si>
  <si>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</si>
  <si>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</si>
  <si>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</si>
  <si>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</si>
  <si>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</si>
  <si>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</si>
  <si>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</si>
  <si>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</si>
  <si>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</si>
  <si>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</si>
  <si>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</si>
  <si>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</si>
  <si>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</si>
  <si>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</si>
  <si>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</si>
  <si>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</si>
  <si>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</si>
  <si>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</si>
  <si>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</si>
  <si>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</si>
  <si>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</si>
  <si>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</si>
  <si>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</si>
  <si>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</si>
  <si>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</si>
  <si>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</si>
  <si>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</si>
  <si>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</si>
  <si>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</si>
  <si>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</si>
  <si>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</si>
  <si>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</si>
  <si>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</si>
  <si>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</si>
  <si>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</si>
  <si>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</si>
  <si>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</si>
  <si>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</si>
  <si>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</si>
  <si>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</si>
  <si>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</si>
  <si>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</si>
  <si>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</si>
  <si>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</si>
  <si>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</si>
  <si>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</si>
  <si>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</si>
  <si>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</si>
  <si>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</si>
  <si>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</si>
  <si>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</si>
  <si>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</si>
  <si>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</si>
  <si>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</si>
  <si>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</si>
  <si>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</si>
  <si>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</si>
  <si>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</si>
  <si>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</si>
  <si>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</si>
  <si>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</si>
  <si>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</si>
  <si>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</si>
  <si>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</si>
  <si>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</si>
  <si>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</si>
  <si>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</si>
  <si>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</si>
  <si>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</si>
  <si>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</si>
  <si>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</si>
  <si>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</si>
  <si>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</si>
  <si>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</si>
  <si>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</si>
  <si>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</si>
  <si>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</si>
  <si>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</si>
  <si>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</si>
  <si>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</si>
  <si>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</si>
  <si>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</si>
  <si>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</si>
  <si>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</si>
  <si>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</si>
  <si>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</si>
  <si>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</si>
  <si>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</si>
  <si>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</si>
  <si>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</si>
  <si>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</si>
  <si>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</si>
  <si>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</si>
  <si>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</si>
  <si>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</si>
  <si>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</si>
  <si>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</si>
  <si>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</si>
  <si>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</si>
  <si>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</si>
  <si>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</si>
  <si>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</si>
  <si>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</si>
  <si>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</si>
  <si>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</si>
  <si>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</si>
  <si>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</si>
  <si>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</si>
  <si>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</si>
  <si>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</si>
  <si>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</si>
  <si>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</si>
  <si>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</si>
  <si>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</si>
  <si>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</si>
  <si>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</si>
  <si>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</si>
  <si>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</si>
  <si>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</si>
  <si>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</si>
  <si>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</si>
  <si>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</si>
  <si>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</si>
  <si>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</si>
  <si>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</si>
  <si>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</si>
  <si>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</si>
  <si>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</si>
  <si>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</si>
  <si>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</si>
  <si>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</si>
  <si>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</si>
  <si>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</si>
  <si>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</si>
  <si>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</si>
  <si>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</si>
  <si>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</si>
  <si>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</si>
  <si>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</si>
  <si>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</si>
  <si>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</si>
  <si>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</si>
  <si>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</si>
  <si>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</si>
  <si>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</si>
  <si>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</si>
  <si>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</si>
  <si>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</si>
  <si>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</si>
  <si>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</si>
  <si>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</si>
  <si>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</si>
  <si>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</si>
  <si>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</si>
  <si>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</si>
  <si>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</si>
  <si>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</si>
  <si>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</si>
  <si>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</si>
  <si>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</si>
  <si>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</si>
  <si>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</si>
  <si>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</si>
  <si>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</si>
  <si>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</si>
  <si>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</si>
  <si>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</si>
  <si>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</si>
  <si>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Stuart Thomson</t>
  </si>
  <si>
    <t>Wednesday</t>
  </si>
  <si>
    <t xml:space="preserve">Chris Howland </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</si>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</sst>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tabSelected="1" workbookViewId="0">
      <pane xSplit="7" ySplit="19" topLeftCell="H34" activePane="bottomRight" state="frozen"/>
      <selection pane="topRight" activeCell="H1" sqref="H1"/>
      <selection pane="bottomLeft" activeCell="A17" sqref="A17"/>
      <selection pane="bottomRight" activeCell="F15" sqref="F15"/>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385</v>
      </c>
      <c r="K15" s="157" t="s">
        <v>324</v>
      </c>
      <c r="L15" s="25"/>
      <c r="M15" s="31" t="s">
        <v>325</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4"/>
  <sheetViews>
    <sheetView workbookViewId="0">
      <selection activeCell="G17" sqref="G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326</v>
      </c>
      <c r="G3" s="14" t="s">
        <v>327</v>
      </c>
      <c r="H3" s="5" t="s">
        <v>87</v>
      </c>
      <c r="I3" s="98" t="s">
        <v>328</v>
      </c>
      <c r="J3" s="98" t="s">
        <v>328</v>
      </c>
      <c r="K3" s="73"/>
      <c r="L3" s="40"/>
      <c r="M3" s="40"/>
      <c r="N3" s="38"/>
      <c r="O3" s="35"/>
      <c r="P3" s="40"/>
      <c r="Q3" s="40"/>
      <c r="R3" s="40"/>
      <c r="S3" s="38"/>
      <c r="T3" s="35"/>
      <c r="U3" s="40"/>
      <c r="V3" s="40"/>
      <c r="W3" s="40"/>
      <c r="X3" s="46"/>
      <c r="Y3" s="44"/>
    </row>
    <row r="4" spans="1:25" ht="15.75" customHeight="1" x14ac:dyDescent="0.25">
      <c r="A4" s="75">
        <f>A3+14</f>
        <v>46065</v>
      </c>
      <c r="B4" s="2" t="s">
        <v>190</v>
      </c>
      <c r="C4" s="26" t="str">
        <f t="shared" ref="C4:C10" si="0">TEXT(A4, "mmm")</f>
        <v>Feb</v>
      </c>
      <c r="D4" s="27" t="str">
        <f t="shared" ref="D4:D10" si="1">TEXT(A4, "dddd")</f>
        <v>Thursday</v>
      </c>
      <c r="E4">
        <f>E3+2</f>
        <v>3</v>
      </c>
      <c r="F4" s="16" t="s">
        <v>329</v>
      </c>
      <c r="G4" s="14" t="s">
        <v>328</v>
      </c>
      <c r="H4" s="5" t="s">
        <v>328</v>
      </c>
      <c r="I4" s="98" t="s">
        <v>328</v>
      </c>
      <c r="J4" s="98" t="s">
        <v>328</v>
      </c>
      <c r="K4" s="102"/>
      <c r="L4" s="5"/>
      <c r="M4" s="5"/>
      <c r="N4" s="16"/>
      <c r="O4" s="35"/>
      <c r="P4" s="5"/>
      <c r="Q4" s="5"/>
      <c r="R4" s="5"/>
      <c r="S4" s="16"/>
      <c r="T4" s="35"/>
      <c r="U4" s="5"/>
      <c r="V4" s="5"/>
      <c r="W4" s="5"/>
      <c r="X4" s="15"/>
      <c r="Y4" s="13"/>
    </row>
    <row r="5" spans="1:25" x14ac:dyDescent="0.25">
      <c r="A5" s="75">
        <f t="shared" ref="A5:A10" si="2">A4+14</f>
        <v>46079</v>
      </c>
      <c r="B5" s="2" t="s">
        <v>190</v>
      </c>
      <c r="C5" s="26" t="str">
        <f t="shared" si="0"/>
        <v>Feb</v>
      </c>
      <c r="D5" s="27" t="str">
        <f t="shared" si="1"/>
        <v>Thursday</v>
      </c>
      <c r="E5">
        <f t="shared" ref="E5:E10" si="3">E4+2</f>
        <v>5</v>
      </c>
      <c r="F5" s="16" t="s">
        <v>330</v>
      </c>
      <c r="G5" s="14" t="s">
        <v>331</v>
      </c>
      <c r="H5" s="5" t="s">
        <v>87</v>
      </c>
      <c r="I5" s="98" t="s">
        <v>328</v>
      </c>
      <c r="J5" s="98" t="s">
        <v>328</v>
      </c>
      <c r="K5" s="102"/>
      <c r="L5" s="5"/>
      <c r="M5" s="5"/>
      <c r="N5" s="16"/>
      <c r="O5" s="35" t="s">
        <v>332</v>
      </c>
      <c r="P5" s="5" t="s">
        <v>333</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3"/>
        <v>7</v>
      </c>
      <c r="F6" s="16" t="s">
        <v>334</v>
      </c>
      <c r="G6" s="14" t="s">
        <v>152</v>
      </c>
      <c r="H6" s="5" t="s">
        <v>95</v>
      </c>
      <c r="I6" s="98" t="s">
        <v>328</v>
      </c>
      <c r="J6" s="98" t="s">
        <v>328</v>
      </c>
      <c r="K6" s="102"/>
      <c r="L6" s="5"/>
      <c r="M6" s="5"/>
      <c r="N6" s="16"/>
      <c r="O6" s="35"/>
      <c r="P6" s="5"/>
      <c r="Q6" s="5"/>
      <c r="R6" s="5"/>
      <c r="S6" s="16"/>
      <c r="T6" s="35"/>
      <c r="U6" s="5"/>
      <c r="V6" s="5"/>
      <c r="W6" s="5"/>
      <c r="X6" s="15"/>
      <c r="Y6" s="13"/>
    </row>
    <row r="7" spans="1:25" x14ac:dyDescent="0.25">
      <c r="A7" s="75">
        <f>A6+14</f>
        <v>46107</v>
      </c>
      <c r="B7" s="2" t="s">
        <v>190</v>
      </c>
      <c r="C7" s="26" t="str">
        <f t="shared" si="0"/>
        <v>Mar</v>
      </c>
      <c r="D7" s="27" t="str">
        <f t="shared" si="1"/>
        <v>Thursday</v>
      </c>
      <c r="E7">
        <f>E6+2</f>
        <v>9</v>
      </c>
      <c r="F7" s="16" t="s">
        <v>335</v>
      </c>
      <c r="G7" s="14" t="s">
        <v>52</v>
      </c>
      <c r="H7" s="5" t="s">
        <v>87</v>
      </c>
      <c r="I7" s="98" t="s">
        <v>328</v>
      </c>
      <c r="J7" s="98" t="s">
        <v>328</v>
      </c>
      <c r="K7" s="102"/>
      <c r="L7" s="5"/>
      <c r="M7" s="5"/>
      <c r="N7" s="16"/>
      <c r="O7" s="35"/>
      <c r="P7" s="5"/>
      <c r="Q7" s="5"/>
      <c r="R7" s="5"/>
      <c r="S7" s="16"/>
      <c r="T7" s="35"/>
      <c r="U7" s="5"/>
      <c r="V7" s="5"/>
      <c r="W7" s="5"/>
      <c r="X7" s="15"/>
      <c r="Y7" s="13"/>
    </row>
    <row r="8" spans="1:25" x14ac:dyDescent="0.25">
      <c r="A8" s="75">
        <v>46120</v>
      </c>
      <c r="B8" s="2" t="s">
        <v>190</v>
      </c>
      <c r="C8" s="26" t="s">
        <v>209</v>
      </c>
      <c r="D8" s="27" t="s">
        <v>336</v>
      </c>
      <c r="E8">
        <v>11</v>
      </c>
      <c r="F8" s="16" t="s">
        <v>337</v>
      </c>
      <c r="G8" s="14" t="s">
        <v>77</v>
      </c>
      <c r="H8" s="5" t="s">
        <v>87</v>
      </c>
      <c r="I8" s="98" t="s">
        <v>328</v>
      </c>
      <c r="J8" s="98" t="s">
        <v>328</v>
      </c>
      <c r="K8" s="102"/>
      <c r="L8" s="5"/>
      <c r="M8" s="5"/>
      <c r="N8" s="16"/>
      <c r="O8" s="35"/>
      <c r="P8" s="5"/>
      <c r="Q8" s="5"/>
      <c r="R8" s="5"/>
      <c r="S8" s="16"/>
      <c r="T8" s="35"/>
      <c r="U8" s="5"/>
      <c r="V8" s="5"/>
      <c r="W8" s="5"/>
      <c r="X8" s="15"/>
      <c r="Y8" s="13"/>
    </row>
    <row r="9" spans="1:25" x14ac:dyDescent="0.25">
      <c r="A9" s="75">
        <f>A7+14</f>
        <v>46121</v>
      </c>
      <c r="B9" s="2" t="s">
        <v>190</v>
      </c>
      <c r="C9" s="26" t="str">
        <f t="shared" si="0"/>
        <v>Apr</v>
      </c>
      <c r="D9" s="27" t="str">
        <f t="shared" si="1"/>
        <v>Thursday</v>
      </c>
      <c r="E9">
        <f>E7+2</f>
        <v>11</v>
      </c>
      <c r="F9" s="16" t="s">
        <v>329</v>
      </c>
      <c r="G9" s="14" t="s">
        <v>328</v>
      </c>
      <c r="H9" s="5" t="s">
        <v>328</v>
      </c>
      <c r="I9" s="98" t="s">
        <v>328</v>
      </c>
      <c r="J9" s="98" t="s">
        <v>328</v>
      </c>
      <c r="K9" s="102"/>
      <c r="L9" s="5"/>
      <c r="M9" s="5"/>
      <c r="N9" s="16"/>
      <c r="O9" s="35"/>
      <c r="P9" s="5"/>
      <c r="Q9" s="5"/>
      <c r="R9" s="5"/>
      <c r="S9" s="16"/>
      <c r="T9" s="35"/>
      <c r="U9" s="5"/>
      <c r="V9" s="5"/>
      <c r="W9" s="5"/>
      <c r="X9" s="15"/>
      <c r="Y9" s="13"/>
    </row>
    <row r="10" spans="1:25" ht="18.75" customHeight="1" x14ac:dyDescent="0.25">
      <c r="A10" s="75">
        <f t="shared" si="2"/>
        <v>46135</v>
      </c>
      <c r="B10" s="2" t="s">
        <v>190</v>
      </c>
      <c r="C10" s="26" t="str">
        <f t="shared" si="0"/>
        <v>Apr</v>
      </c>
      <c r="D10" s="27" t="str">
        <f t="shared" si="1"/>
        <v>Thursday</v>
      </c>
      <c r="E10">
        <f t="shared" si="3"/>
        <v>13</v>
      </c>
      <c r="F10" s="16" t="s">
        <v>329</v>
      </c>
      <c r="G10" s="14" t="s">
        <v>328</v>
      </c>
      <c r="H10" s="5" t="s">
        <v>328</v>
      </c>
      <c r="I10" s="98" t="s">
        <v>328</v>
      </c>
      <c r="J10" s="98" t="s">
        <v>328</v>
      </c>
      <c r="K10" s="102"/>
      <c r="L10" s="5"/>
      <c r="M10" s="5"/>
      <c r="N10" s="16"/>
      <c r="O10" s="35"/>
      <c r="P10" s="5"/>
      <c r="Q10" s="5"/>
      <c r="R10" s="5"/>
      <c r="S10" s="16"/>
      <c r="T10" s="35"/>
      <c r="U10" s="5"/>
      <c r="V10" s="5"/>
      <c r="W10" s="5"/>
      <c r="X10" s="15"/>
      <c r="Y10" s="13"/>
    </row>
    <row r="11" spans="1:25" x14ac:dyDescent="0.25">
      <c r="A11" s="26"/>
      <c r="B11" s="26"/>
      <c r="C11" s="26"/>
      <c r="X11" s="20"/>
      <c r="Y11" s="18"/>
    </row>
    <row r="12" spans="1:25" ht="12.75" customHeight="1" x14ac:dyDescent="0.25">
      <c r="A12" s="26"/>
      <c r="B12" s="26"/>
      <c r="C12" s="26"/>
    </row>
    <row r="13" spans="1:25" x14ac:dyDescent="0.25">
      <c r="A13" s="26"/>
      <c r="B13" s="26"/>
      <c r="C13" s="26"/>
    </row>
    <row r="14" spans="1:25" x14ac:dyDescent="0.25">
      <c r="A14" s="26"/>
      <c r="B14" s="26"/>
      <c r="C14" s="26"/>
    </row>
  </sheetData>
  <protectedRanges>
    <protectedRange algorithmName="SHA-512" hashValue="pQyTzP/d7t5ThMimBt5mu8gGozgAm1OwF6BMILsn5/kmtZ5mZf81NMi09wwU8mvtItxf0EVNWa6V4MCa0DKeSQ==" saltValue="NzZBiAQ1yFjat+SeIqh2Uw==" spinCount="100000" sqref="A3:E14"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0" name="Range6_1"/>
    <protectedRange algorithmName="SHA-512" hashValue="BKDH3ki5lE3XQdc5qZnIH6o8wW8E0PkHgMZFCkv/XYDEa+b/qenui0oReDIqPDXHceUVJ+rEgU3I9CDBHraDYg==" saltValue="ruXqG4NOhhm7cSLor8wHfw==" spinCount="100000" sqref="O2:O10" name="Range7_1"/>
    <protectedRange sqref="X11:Y11 F3:Y10"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x14ac:dyDescent="0.25"/>
  <cols>
    <col min="1" max="1" width="31.28515625" customWidth="1"/>
    <col min="2" max="2" width="26" customWidth="1"/>
    <col min="3" max="3" width="20.140625" customWidth="1"/>
  </cols>
  <sheetData>
    <row r="1" spans="1:3" x14ac:dyDescent="0.25">
      <c r="A1" t="s">
        <v>338</v>
      </c>
    </row>
    <row r="2" spans="1:3" x14ac:dyDescent="0.25">
      <c r="A2" s="55" t="s">
        <v>339</v>
      </c>
      <c r="B2" s="54" t="s">
        <v>340</v>
      </c>
      <c r="C2" s="54" t="s">
        <v>341</v>
      </c>
    </row>
    <row r="3" spans="1:3" x14ac:dyDescent="0.25">
      <c r="A3" s="136" t="s">
        <v>342</v>
      </c>
      <c r="B3" s="137"/>
      <c r="C3" s="138" t="s">
        <v>224</v>
      </c>
    </row>
    <row r="4" spans="1:3" x14ac:dyDescent="0.25">
      <c r="A4" s="5" t="s">
        <v>343</v>
      </c>
      <c r="B4" s="52"/>
      <c r="C4" s="50" t="s">
        <v>31</v>
      </c>
    </row>
    <row r="5" spans="1:3" x14ac:dyDescent="0.25">
      <c r="A5" s="52" t="s">
        <v>344</v>
      </c>
      <c r="B5" s="52"/>
      <c r="C5" s="50" t="s">
        <v>345</v>
      </c>
    </row>
    <row r="6" spans="1:3" x14ac:dyDescent="0.25">
      <c r="A6" s="52" t="s">
        <v>346</v>
      </c>
      <c r="B6" s="52" t="s">
        <v>347</v>
      </c>
      <c r="C6" s="50" t="s">
        <v>87</v>
      </c>
    </row>
    <row r="7" spans="1:3" x14ac:dyDescent="0.25">
      <c r="A7" s="52" t="s">
        <v>348</v>
      </c>
      <c r="B7" s="52" t="s">
        <v>349</v>
      </c>
      <c r="C7" s="50" t="s">
        <v>87</v>
      </c>
    </row>
    <row r="8" spans="1:3" x14ac:dyDescent="0.25">
      <c r="A8" s="52" t="s">
        <v>350</v>
      </c>
      <c r="B8" s="52" t="s">
        <v>351</v>
      </c>
      <c r="C8" s="50" t="s">
        <v>101</v>
      </c>
    </row>
    <row r="9" spans="1:3" x14ac:dyDescent="0.25">
      <c r="A9" s="52" t="s">
        <v>352</v>
      </c>
      <c r="B9" s="52"/>
      <c r="C9" s="50"/>
    </row>
    <row r="10" spans="1:3" x14ac:dyDescent="0.25">
      <c r="A10" s="52" t="s">
        <v>353</v>
      </c>
      <c r="B10" s="52" t="s">
        <v>354</v>
      </c>
      <c r="C10" s="50" t="s">
        <v>355</v>
      </c>
    </row>
    <row r="11" spans="1:3" x14ac:dyDescent="0.25">
      <c r="A11" s="52" t="s">
        <v>356</v>
      </c>
      <c r="B11" s="52" t="s">
        <v>357</v>
      </c>
      <c r="C11" s="50" t="s">
        <v>358</v>
      </c>
    </row>
    <row r="12" spans="1:3" x14ac:dyDescent="0.25">
      <c r="A12" s="52" t="s">
        <v>359</v>
      </c>
      <c r="B12" s="52" t="s">
        <v>360</v>
      </c>
      <c r="C12" s="50" t="s">
        <v>358</v>
      </c>
    </row>
    <row r="13" spans="1:3" x14ac:dyDescent="0.25">
      <c r="A13" s="52" t="s">
        <v>361</v>
      </c>
      <c r="B13" s="52" t="s">
        <v>362</v>
      </c>
      <c r="C13" s="50" t="s">
        <v>358</v>
      </c>
    </row>
    <row r="14" spans="1:3" x14ac:dyDescent="0.25">
      <c r="A14" s="52" t="s">
        <v>363</v>
      </c>
      <c r="B14" s="52" t="s">
        <v>364</v>
      </c>
      <c r="C14" s="50" t="s">
        <v>358</v>
      </c>
    </row>
    <row r="15" spans="1:3" x14ac:dyDescent="0.25">
      <c r="A15" s="52" t="s">
        <v>365</v>
      </c>
      <c r="B15" s="52" t="s">
        <v>366</v>
      </c>
      <c r="C15" s="50" t="s">
        <v>358</v>
      </c>
    </row>
    <row r="16" spans="1:3" x14ac:dyDescent="0.25">
      <c r="A16" s="137" t="s">
        <v>321</v>
      </c>
      <c r="B16" s="137" t="s">
        <v>367</v>
      </c>
      <c r="C16" s="139" t="s">
        <v>368</v>
      </c>
    </row>
    <row r="17" spans="1:3" x14ac:dyDescent="0.25">
      <c r="A17" s="52" t="s">
        <v>369</v>
      </c>
      <c r="B17" s="52" t="s">
        <v>370</v>
      </c>
      <c r="C17" s="50" t="s">
        <v>368</v>
      </c>
    </row>
    <row r="18" spans="1:3" x14ac:dyDescent="0.25">
      <c r="A18" s="52" t="s">
        <v>371</v>
      </c>
      <c r="B18" s="52" t="s">
        <v>347</v>
      </c>
      <c r="C18" s="50" t="s">
        <v>87</v>
      </c>
    </row>
    <row r="19" spans="1:3" x14ac:dyDescent="0.25">
      <c r="A19" s="53" t="s">
        <v>372</v>
      </c>
      <c r="B19" s="53" t="s">
        <v>230</v>
      </c>
      <c r="C19" s="51" t="s">
        <v>373</v>
      </c>
    </row>
    <row r="23" spans="1:3" x14ac:dyDescent="0.25">
      <c r="A23" t="s">
        <v>374</v>
      </c>
    </row>
    <row r="24" spans="1:3" x14ac:dyDescent="0.25">
      <c r="A24" t="s">
        <v>371</v>
      </c>
      <c r="B24" t="s">
        <v>347</v>
      </c>
      <c r="C24" t="s">
        <v>87</v>
      </c>
    </row>
    <row r="25" spans="1:3" x14ac:dyDescent="0.25">
      <c r="A25" t="s">
        <v>372</v>
      </c>
      <c r="B25" t="s">
        <v>230</v>
      </c>
      <c r="C25" t="s">
        <v>373</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x14ac:dyDescent="0.25"/>
  <cols>
    <col min="1" max="1" width="17.85546875" customWidth="1"/>
    <col min="6" max="6" width="14.5703125" customWidth="1"/>
  </cols>
  <sheetData>
    <row r="1" spans="1:10" ht="15.75" thickBot="1" x14ac:dyDescent="0.3">
      <c r="A1" s="135" t="s">
        <v>3</v>
      </c>
      <c r="B1" s="131" t="s">
        <v>375</v>
      </c>
      <c r="C1" s="130" t="s">
        <v>376</v>
      </c>
    </row>
    <row r="2" spans="1:10" ht="15.75" thickTop="1" x14ac:dyDescent="0.25">
      <c r="A2" s="133">
        <v>45911</v>
      </c>
      <c r="B2" s="134">
        <v>1</v>
      </c>
      <c r="C2" s="134" t="s">
        <v>377</v>
      </c>
      <c r="F2" s="75">
        <v>45911</v>
      </c>
      <c r="G2" s="77" t="s">
        <v>190</v>
      </c>
      <c r="H2" s="29" t="str">
        <f>TEXT(F2, "mmm")</f>
        <v>Sep</v>
      </c>
      <c r="I2" s="55" t="str">
        <f>TEXT(F2, "dddd")</f>
        <v>Thursday</v>
      </c>
      <c r="J2">
        <v>1</v>
      </c>
    </row>
    <row r="3" spans="1:10" x14ac:dyDescent="0.25">
      <c r="A3" s="133">
        <f>A2+7</f>
        <v>45918</v>
      </c>
      <c r="B3" s="134">
        <f>B2+1</f>
        <v>2</v>
      </c>
      <c r="C3" s="134" t="s">
        <v>377</v>
      </c>
      <c r="F3" s="75">
        <v>45926</v>
      </c>
      <c r="G3" s="2" t="s">
        <v>259</v>
      </c>
      <c r="H3" s="26" t="str">
        <f>TEXT(F3, "mmm")</f>
        <v>Sep</v>
      </c>
      <c r="I3" s="27" t="str">
        <f>TEXT(F3, "dddd")</f>
        <v>Friday</v>
      </c>
      <c r="J3">
        <f>J2+2</f>
        <v>3</v>
      </c>
    </row>
    <row r="4" spans="1:10" x14ac:dyDescent="0.25">
      <c r="A4" s="133">
        <f t="shared" ref="A4:A12" si="0">A3+7</f>
        <v>45925</v>
      </c>
      <c r="B4" s="134">
        <f t="shared" ref="B4:B11" si="1">B3+1</f>
        <v>3</v>
      </c>
      <c r="C4" s="134" t="s">
        <v>377</v>
      </c>
      <c r="F4" s="75">
        <v>45939</v>
      </c>
      <c r="G4" s="2" t="s">
        <v>190</v>
      </c>
      <c r="H4" s="26" t="str">
        <f t="shared" ref="H4" si="2">TEXT(F4, "mmm")</f>
        <v>Oct</v>
      </c>
      <c r="I4" s="27" t="str">
        <f t="shared" ref="I4" si="3">TEXT(F4, "dddd")</f>
        <v>Thursday</v>
      </c>
      <c r="J4">
        <f>J3+2</f>
        <v>5</v>
      </c>
    </row>
    <row r="5" spans="1:10" x14ac:dyDescent="0.25">
      <c r="A5" s="133">
        <f t="shared" si="0"/>
        <v>45932</v>
      </c>
      <c r="B5" s="134">
        <f t="shared" si="1"/>
        <v>4</v>
      </c>
      <c r="C5" s="134" t="s">
        <v>377</v>
      </c>
      <c r="F5" s="75">
        <v>45946</v>
      </c>
      <c r="G5" s="2" t="s">
        <v>190</v>
      </c>
      <c r="H5" s="26" t="s">
        <v>277</v>
      </c>
      <c r="I5" s="27" t="s">
        <v>278</v>
      </c>
      <c r="J5">
        <v>6</v>
      </c>
    </row>
    <row r="6" spans="1:10" x14ac:dyDescent="0.25">
      <c r="A6" s="133">
        <f t="shared" si="0"/>
        <v>45939</v>
      </c>
      <c r="B6" s="134">
        <f t="shared" si="1"/>
        <v>5</v>
      </c>
      <c r="C6" s="134" t="s">
        <v>377</v>
      </c>
      <c r="F6" s="75">
        <v>45953</v>
      </c>
      <c r="G6" s="2" t="s">
        <v>190</v>
      </c>
      <c r="H6" s="26" t="str">
        <f>TEXT(F6, "mmm")</f>
        <v>Oct</v>
      </c>
      <c r="I6" s="27" t="str">
        <f>TEXT(F6, "dddd")</f>
        <v>Thursday</v>
      </c>
      <c r="J6">
        <f>J4+2</f>
        <v>7</v>
      </c>
    </row>
    <row r="7" spans="1:10" x14ac:dyDescent="0.25">
      <c r="A7" s="133">
        <f t="shared" si="0"/>
        <v>45946</v>
      </c>
      <c r="B7" s="134">
        <f t="shared" si="1"/>
        <v>6</v>
      </c>
      <c r="C7" s="134" t="s">
        <v>329</v>
      </c>
      <c r="F7" s="75">
        <v>45967</v>
      </c>
      <c r="G7" s="2" t="s">
        <v>190</v>
      </c>
      <c r="H7" s="26" t="str">
        <f>TEXT(F7, "mmm")</f>
        <v>Nov</v>
      </c>
      <c r="I7" s="27" t="str">
        <f>TEXT(F7, "dddd")</f>
        <v>Thursday</v>
      </c>
      <c r="J7">
        <f>J6+2</f>
        <v>9</v>
      </c>
    </row>
    <row r="8" spans="1:10" x14ac:dyDescent="0.25">
      <c r="A8" s="133">
        <f t="shared" si="0"/>
        <v>45953</v>
      </c>
      <c r="B8" s="134">
        <f t="shared" si="1"/>
        <v>7</v>
      </c>
      <c r="C8" s="134" t="s">
        <v>378</v>
      </c>
      <c r="F8" s="75">
        <v>45974</v>
      </c>
      <c r="G8" s="2" t="s">
        <v>190</v>
      </c>
      <c r="H8" s="26" t="str">
        <f>TEXT(F8, "mmm")</f>
        <v>Nov</v>
      </c>
      <c r="I8" s="27" t="str">
        <f>TEXT(F8, "dddd")</f>
        <v>Thursday</v>
      </c>
      <c r="J8">
        <v>10</v>
      </c>
    </row>
    <row r="9" spans="1:10" x14ac:dyDescent="0.25">
      <c r="A9" s="133">
        <f t="shared" si="0"/>
        <v>45960</v>
      </c>
      <c r="B9" s="134">
        <f t="shared" si="1"/>
        <v>8</v>
      </c>
      <c r="C9" s="134" t="s">
        <v>377</v>
      </c>
      <c r="F9" s="75">
        <v>45981</v>
      </c>
      <c r="G9" s="2" t="s">
        <v>190</v>
      </c>
      <c r="H9" s="26" t="str">
        <f>TEXT(F9, "mmm")</f>
        <v>Nov</v>
      </c>
      <c r="I9" s="27" t="str">
        <f>TEXT(F9, "dddd")</f>
        <v>Thursday</v>
      </c>
      <c r="J9">
        <f>J7+2</f>
        <v>11</v>
      </c>
    </row>
    <row r="10" spans="1:10" x14ac:dyDescent="0.25">
      <c r="A10" s="133">
        <f t="shared" si="0"/>
        <v>45967</v>
      </c>
      <c r="B10" s="134">
        <f t="shared" si="1"/>
        <v>9</v>
      </c>
      <c r="C10" s="134" t="s">
        <v>378</v>
      </c>
      <c r="F10" s="75">
        <v>45995</v>
      </c>
      <c r="G10" s="2" t="s">
        <v>190</v>
      </c>
      <c r="H10" s="26" t="str">
        <f>TEXT(F10, "mmm")</f>
        <v>Dec</v>
      </c>
      <c r="I10" s="27" t="str">
        <f>TEXT(F10, "dddd")</f>
        <v>Thursday</v>
      </c>
      <c r="J10">
        <f t="shared" ref="J10" si="4">J9+2</f>
        <v>13</v>
      </c>
    </row>
    <row r="11" spans="1:10" x14ac:dyDescent="0.25">
      <c r="A11" s="133">
        <f t="shared" si="0"/>
        <v>45974</v>
      </c>
      <c r="B11" s="134">
        <f t="shared" si="1"/>
        <v>10</v>
      </c>
      <c r="C11" s="134" t="s">
        <v>377</v>
      </c>
    </row>
    <row r="12" spans="1:10" x14ac:dyDescent="0.25">
      <c r="A12" s="133">
        <f t="shared" si="0"/>
        <v>45981</v>
      </c>
      <c r="B12" s="134">
        <f t="shared" ref="B12:B14" si="5">B11+1</f>
        <v>11</v>
      </c>
      <c r="C12" s="134" t="s">
        <v>377</v>
      </c>
    </row>
    <row r="13" spans="1:10" x14ac:dyDescent="0.25">
      <c r="A13" s="133">
        <f t="shared" ref="A13:A14" si="6">A12+7</f>
        <v>45988</v>
      </c>
      <c r="B13" s="134">
        <f t="shared" si="5"/>
        <v>12</v>
      </c>
      <c r="C13" s="134" t="s">
        <v>329</v>
      </c>
    </row>
    <row r="14" spans="1:10" x14ac:dyDescent="0.25">
      <c r="A14" s="133">
        <f t="shared" si="6"/>
        <v>45995</v>
      </c>
      <c r="B14" s="134">
        <f t="shared" si="5"/>
        <v>13</v>
      </c>
      <c r="C14" s="134" t="s">
        <v>377</v>
      </c>
    </row>
    <row r="15" spans="1:10" x14ac:dyDescent="0.25">
      <c r="A15" s="133"/>
      <c r="B15" s="134"/>
      <c r="C15" s="134"/>
    </row>
    <row r="16" spans="1:10"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379</v>
      </c>
    </row>
    <row r="3" spans="1:9" ht="18.75" x14ac:dyDescent="0.3">
      <c r="A3" s="79" t="s">
        <v>380</v>
      </c>
    </row>
    <row r="5" spans="1:9" ht="37.5" x14ac:dyDescent="0.25">
      <c r="A5" s="80" t="s">
        <v>3</v>
      </c>
      <c r="B5" s="80" t="s">
        <v>4</v>
      </c>
      <c r="C5" s="80" t="s">
        <v>5</v>
      </c>
      <c r="D5" s="80" t="s">
        <v>137</v>
      </c>
      <c r="E5" s="80" t="s">
        <v>189</v>
      </c>
      <c r="F5" s="80" t="s">
        <v>8</v>
      </c>
      <c r="G5" s="80" t="s">
        <v>9</v>
      </c>
      <c r="H5" s="82" t="s">
        <v>381</v>
      </c>
      <c r="I5" s="81" t="s">
        <v>11</v>
      </c>
    </row>
    <row r="6" spans="1:9" ht="18.75" x14ac:dyDescent="0.3">
      <c r="A6" s="92">
        <v>45694</v>
      </c>
      <c r="B6" s="92" t="s">
        <v>190</v>
      </c>
      <c r="C6" s="92" t="s">
        <v>191</v>
      </c>
      <c r="D6" s="93" t="s">
        <v>278</v>
      </c>
      <c r="E6" s="93">
        <v>2</v>
      </c>
      <c r="F6" s="85" t="s">
        <v>40</v>
      </c>
      <c r="G6" s="85" t="s">
        <v>68</v>
      </c>
      <c r="H6" s="85"/>
      <c r="I6" s="84" t="s">
        <v>328</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336</v>
      </c>
      <c r="E9" s="94">
        <v>8</v>
      </c>
      <c r="F9" s="87" t="s">
        <v>204</v>
      </c>
      <c r="G9" s="87" t="s">
        <v>205</v>
      </c>
      <c r="H9" s="87" t="s">
        <v>206</v>
      </c>
      <c r="I9" s="86" t="s">
        <v>328</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382</v>
      </c>
      <c r="G11" s="87" t="s">
        <v>68</v>
      </c>
      <c r="H11" s="87"/>
      <c r="I11" s="86" t="s">
        <v>328</v>
      </c>
    </row>
    <row r="12" spans="1:9" ht="18.75" x14ac:dyDescent="0.3">
      <c r="A12" s="83">
        <v>45758</v>
      </c>
      <c r="B12" s="83" t="s">
        <v>28</v>
      </c>
      <c r="C12" s="83" t="s">
        <v>209</v>
      </c>
      <c r="D12" s="94" t="s">
        <v>214</v>
      </c>
      <c r="E12" s="94">
        <v>11</v>
      </c>
      <c r="F12" s="87" t="s">
        <v>229</v>
      </c>
      <c r="G12" s="87" t="s">
        <v>172</v>
      </c>
      <c r="H12" s="87" t="s">
        <v>31</v>
      </c>
      <c r="I12" s="86" t="s">
        <v>328</v>
      </c>
    </row>
    <row r="13" spans="1:9" ht="18.75" x14ac:dyDescent="0.3">
      <c r="A13" s="83">
        <v>45764</v>
      </c>
      <c r="B13" s="83" t="s">
        <v>190</v>
      </c>
      <c r="C13" s="83" t="s">
        <v>209</v>
      </c>
      <c r="D13" s="94" t="s">
        <v>278</v>
      </c>
      <c r="E13" s="94">
        <v>12</v>
      </c>
      <c r="F13" s="87" t="s">
        <v>383</v>
      </c>
      <c r="G13" s="87"/>
      <c r="H13" s="87"/>
      <c r="I13" s="86"/>
    </row>
    <row r="14" spans="1:9" ht="18.75" x14ac:dyDescent="0.3">
      <c r="A14" s="88">
        <v>45771</v>
      </c>
      <c r="B14" s="88" t="s">
        <v>190</v>
      </c>
      <c r="C14" s="88" t="s">
        <v>209</v>
      </c>
      <c r="D14" s="95" t="s">
        <v>278</v>
      </c>
      <c r="E14" s="95">
        <v>13</v>
      </c>
      <c r="F14" s="90" t="s">
        <v>384</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AY2023-2024 Sem 2</vt:lpstr>
      <vt:lpstr>AY2024-2025 Sem 1</vt:lpstr>
      <vt:lpstr>AY2024-2025 Sem 2</vt:lpstr>
      <vt:lpstr>AY2025-2026 Sem 1</vt:lpstr>
      <vt:lpstr>AY2025-2026 Sem 2</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2025-12-02T09:38:06Z</dcterms:modified>
  <cp:category/>
  <cp:contentStatus/>
</cp:coreProperties>
</file>